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\Desktop\Training-Functional-dimensioning\Training-Functional-dimensioning-of-machine-elements-\01-Eccentric_Mechanism\Calculations\"/>
    </mc:Choice>
  </mc:AlternateContent>
  <xr:revisionPtr revIDLastSave="0" documentId="13_ncr:1_{F5AB9976-AC00-4E4B-B848-1D17A39BBE88}" xr6:coauthVersionLast="47" xr6:coauthVersionMax="47" xr10:uidLastSave="{00000000-0000-0000-0000-000000000000}"/>
  <bookViews>
    <workbookView xWindow="-120" yWindow="-120" windowWidth="29040" windowHeight="15720" xr2:uid="{B27A7284-1C2B-40BC-84AE-5D6163E3F5FF}"/>
  </bookViews>
  <sheets>
    <sheet name="Calculations-fitting" sheetId="4" r:id="rId1"/>
    <sheet name="Tolerances-grades" sheetId="1" r:id="rId2"/>
    <sheet name="Deviations-holes" sheetId="2" r:id="rId3"/>
    <sheet name="Deviation-shaft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N16" i="4"/>
  <c r="N15" i="4"/>
  <c r="N12" i="4"/>
  <c r="H19" i="4" s="1"/>
  <c r="N11" i="4"/>
  <c r="H20" i="4" s="1"/>
  <c r="H129" i="4"/>
  <c r="H124" i="4"/>
  <c r="N124" i="4" s="1"/>
  <c r="N123" i="4"/>
  <c r="N120" i="4"/>
  <c r="H127" i="4" s="1"/>
  <c r="H119" i="4"/>
  <c r="N119" i="4" s="1"/>
  <c r="H107" i="4"/>
  <c r="H102" i="4"/>
  <c r="N102" i="4" s="1"/>
  <c r="N101" i="4"/>
  <c r="N98" i="4"/>
  <c r="H105" i="4" s="1"/>
  <c r="H97" i="4"/>
  <c r="N97" i="4" s="1"/>
  <c r="H106" i="4" s="1"/>
  <c r="F109" i="4" s="1"/>
  <c r="H86" i="4"/>
  <c r="H81" i="4"/>
  <c r="N81" i="4" s="1"/>
  <c r="N80" i="4"/>
  <c r="N77" i="4"/>
  <c r="H84" i="4" s="1"/>
  <c r="H76" i="4"/>
  <c r="N76" i="4" s="1"/>
  <c r="H85" i="4" s="1"/>
  <c r="F88" i="4" s="1"/>
  <c r="H64" i="4"/>
  <c r="N59" i="4"/>
  <c r="H58" i="4"/>
  <c r="N58" i="4" s="1"/>
  <c r="N55" i="4"/>
  <c r="H54" i="4"/>
  <c r="N54" i="4" s="1"/>
  <c r="H43" i="4"/>
  <c r="H38" i="4"/>
  <c r="N38" i="4" s="1"/>
  <c r="N37" i="4"/>
  <c r="N34" i="4"/>
  <c r="N33" i="4"/>
  <c r="H42" i="4" s="1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11" i="2"/>
  <c r="Z12" i="2"/>
  <c r="Z13" i="2"/>
  <c r="Z14" i="2"/>
  <c r="Z10" i="2"/>
  <c r="H41" i="4" l="1"/>
  <c r="H128" i="4"/>
  <c r="F131" i="4" s="1"/>
  <c r="H62" i="4"/>
  <c r="H63" i="4"/>
  <c r="F67" i="4" s="1"/>
  <c r="F45" i="4"/>
</calcChain>
</file>

<file path=xl/sharedStrings.xml><?xml version="1.0" encoding="utf-8"?>
<sst xmlns="http://schemas.openxmlformats.org/spreadsheetml/2006/main" count="690" uniqueCount="293">
  <si>
    <t>mm</t>
  </si>
  <si>
    <t>Above</t>
  </si>
  <si>
    <t>Nominal size [mm]</t>
  </si>
  <si>
    <t>Up to and including</t>
  </si>
  <si>
    <t>—</t>
  </si>
  <si>
    <t>-</t>
  </si>
  <si>
    <t>Standard tolerance grades</t>
  </si>
  <si>
    <t>IT01</t>
  </si>
  <si>
    <t>IT0</t>
  </si>
  <si>
    <t>IT1</t>
  </si>
  <si>
    <t>IT2</t>
  </si>
  <si>
    <t>IT3</t>
  </si>
  <si>
    <t>IT4</t>
  </si>
  <si>
    <t>IT5</t>
  </si>
  <si>
    <t>IT6</t>
  </si>
  <si>
    <t>IT7</t>
  </si>
  <si>
    <t>IT8</t>
  </si>
  <si>
    <t>IT9</t>
  </si>
  <si>
    <t>IT10</t>
  </si>
  <si>
    <t>IT11</t>
  </si>
  <si>
    <t>IT12</t>
  </si>
  <si>
    <t>IT13</t>
  </si>
  <si>
    <t>IT14</t>
  </si>
  <si>
    <t>IT15</t>
  </si>
  <si>
    <t>IT16</t>
  </si>
  <si>
    <t>IT17</t>
  </si>
  <si>
    <t>IT18</t>
  </si>
  <si>
    <t>0,3</t>
  </si>
  <si>
    <t>0,5</t>
  </si>
  <si>
    <t>0,8</t>
  </si>
  <si>
    <t>1,2</t>
  </si>
  <si>
    <t>0,1</t>
  </si>
  <si>
    <t>0,14</t>
  </si>
  <si>
    <t>0,25</t>
  </si>
  <si>
    <t>0,4</t>
  </si>
  <si>
    <t>0,6</t>
  </si>
  <si>
    <t>1,4</t>
  </si>
  <si>
    <t>1,5</t>
  </si>
  <si>
    <t>2,5</t>
  </si>
  <si>
    <t>0,12</t>
  </si>
  <si>
    <t>0,18</t>
  </si>
  <si>
    <t>0,48</t>
  </si>
  <si>
    <t>0,75</t>
  </si>
  <si>
    <t>1,8</t>
  </si>
  <si>
    <t>0,15</t>
  </si>
  <si>
    <t>0,22</t>
  </si>
  <si>
    <t>0,36</t>
  </si>
  <si>
    <t>0,58</t>
  </si>
  <si>
    <t>0,9</t>
  </si>
  <si>
    <t>2,2</t>
  </si>
  <si>
    <t>0,27</t>
  </si>
  <si>
    <t>0,43</t>
  </si>
  <si>
    <t>0,7</t>
  </si>
  <si>
    <t>1,1</t>
  </si>
  <si>
    <t>2,7</t>
  </si>
  <si>
    <t>0,21</t>
  </si>
  <si>
    <t>0,33</t>
  </si>
  <si>
    <t>0,52</t>
  </si>
  <si>
    <t>0,84</t>
  </si>
  <si>
    <t>1,3</t>
  </si>
  <si>
    <t>2,1</t>
  </si>
  <si>
    <t>3,3</t>
  </si>
  <si>
    <t>0,39</t>
  </si>
  <si>
    <t>0,62</t>
  </si>
  <si>
    <t>1,6</t>
  </si>
  <si>
    <t>3,9</t>
  </si>
  <si>
    <t>0,46</t>
  </si>
  <si>
    <t>0,74</t>
  </si>
  <si>
    <t>1,9</t>
  </si>
  <si>
    <t>4,6</t>
  </si>
  <si>
    <t>0,35</t>
  </si>
  <si>
    <t>0,54</t>
  </si>
  <si>
    <t>0,87</t>
  </si>
  <si>
    <t>3,5</t>
  </si>
  <si>
    <t>5,4</t>
  </si>
  <si>
    <t>0,63</t>
  </si>
  <si>
    <t>6,3</t>
  </si>
  <si>
    <t>4,5</t>
  </si>
  <si>
    <t>0,72</t>
  </si>
  <si>
    <t>1,15</t>
  </si>
  <si>
    <t>1,85</t>
  </si>
  <si>
    <t>2,9</t>
  </si>
  <si>
    <t>7,2</t>
  </si>
  <si>
    <t>0,81</t>
  </si>
  <si>
    <t>3,2</t>
  </si>
  <si>
    <t>5,2</t>
  </si>
  <si>
    <t>8,1</t>
  </si>
  <si>
    <t>0,57</t>
  </si>
  <si>
    <t>0,89</t>
  </si>
  <si>
    <t>2,3</t>
  </si>
  <si>
    <t>3,6</t>
  </si>
  <si>
    <t>5,7</t>
  </si>
  <si>
    <t>8,9</t>
  </si>
  <si>
    <t>0,97</t>
  </si>
  <si>
    <t>1,55</t>
  </si>
  <si>
    <t>9,7</t>
  </si>
  <si>
    <t>1,75</t>
  </si>
  <si>
    <t>2,8</t>
  </si>
  <si>
    <t>4,4</t>
  </si>
  <si>
    <t>1,25</t>
  </si>
  <si>
    <t>12,5</t>
  </si>
  <si>
    <t>5,6</t>
  </si>
  <si>
    <t>1,05</t>
  </si>
  <si>
    <t>1,65</t>
  </si>
  <si>
    <t>2,6</t>
  </si>
  <si>
    <t>4,2</t>
  </si>
  <si>
    <t>6,6</t>
  </si>
  <si>
    <t>10,5</t>
  </si>
  <si>
    <t>16,5</t>
  </si>
  <si>
    <t>1,95</t>
  </si>
  <si>
    <t>3,1</t>
  </si>
  <si>
    <t>7,8</t>
  </si>
  <si>
    <t>19,5</t>
  </si>
  <si>
    <t>3,7</t>
  </si>
  <si>
    <t>9,2</t>
  </si>
  <si>
    <t>17,5</t>
  </si>
  <si>
    <t>8,6</t>
  </si>
  <si>
    <t>13,5</t>
  </si>
  <si>
    <t>[mm]</t>
  </si>
  <si>
    <r>
      <t>[</t>
    </r>
    <r>
      <rPr>
        <b/>
        <sz val="16"/>
        <color theme="1"/>
        <rFont val="Aptos Narrow"/>
        <family val="2"/>
      </rPr>
      <t>µm]</t>
    </r>
  </si>
  <si>
    <t>Fundamental devation values</t>
  </si>
  <si>
    <t>Lower limit deviation EI</t>
  </si>
  <si>
    <t>Upper limit deviation ES</t>
  </si>
  <si>
    <t>All standard tolerance grades</t>
  </si>
  <si>
    <t>A</t>
  </si>
  <si>
    <t>B</t>
  </si>
  <si>
    <t>C</t>
  </si>
  <si>
    <t>D</t>
  </si>
  <si>
    <t>E</t>
  </si>
  <si>
    <t>F</t>
  </si>
  <si>
    <t>G</t>
  </si>
  <si>
    <t>CD</t>
  </si>
  <si>
    <t>EF</t>
  </si>
  <si>
    <t>FG</t>
  </si>
  <si>
    <t>H</t>
  </si>
  <si>
    <t>JS</t>
  </si>
  <si>
    <t>Up to and including IT8</t>
  </si>
  <si>
    <t>Above IT8</t>
  </si>
  <si>
    <t>J</t>
  </si>
  <si>
    <t>K</t>
  </si>
  <si>
    <t>M</t>
  </si>
  <si>
    <t>=</t>
  </si>
  <si>
    <t>Deviation = Itn/2</t>
  </si>
  <si>
    <r>
      <rPr>
        <sz val="11"/>
        <color theme="1"/>
        <rFont val="Aptos Narrow"/>
        <family val="2"/>
        <scheme val="minor"/>
      </rPr>
      <t>-1+</t>
    </r>
    <r>
      <rPr>
        <sz val="11"/>
        <color theme="1"/>
        <rFont val="Aptos Narrow"/>
        <family val="2"/>
      </rPr>
      <t>∆</t>
    </r>
  </si>
  <si>
    <t>-1+∆</t>
  </si>
  <si>
    <t>-2+∆</t>
  </si>
  <si>
    <t>-3+∆</t>
  </si>
  <si>
    <t>-4+∆</t>
  </si>
  <si>
    <t>-5+∆</t>
  </si>
  <si>
    <r>
      <rPr>
        <sz val="11"/>
        <color theme="1"/>
        <rFont val="Aptos Narrow"/>
        <family val="2"/>
        <scheme val="minor"/>
      </rPr>
      <t>-4+</t>
    </r>
    <r>
      <rPr>
        <sz val="11"/>
        <color theme="1"/>
        <rFont val="Aptos Narrow"/>
        <family val="2"/>
      </rPr>
      <t>∆</t>
    </r>
  </si>
  <si>
    <r>
      <rPr>
        <sz val="11"/>
        <color theme="1"/>
        <rFont val="Aptos Narrow"/>
        <family val="2"/>
        <scheme val="minor"/>
      </rPr>
      <t>-6+</t>
    </r>
    <r>
      <rPr>
        <sz val="11"/>
        <color theme="1"/>
        <rFont val="Aptos Narrow"/>
        <family val="2"/>
      </rPr>
      <t>∆</t>
    </r>
  </si>
  <si>
    <t>-7+∆</t>
  </si>
  <si>
    <t>-8+∆</t>
  </si>
  <si>
    <t>-9+∆</t>
  </si>
  <si>
    <t>-11+∆</t>
  </si>
  <si>
    <t>-13+∆</t>
  </si>
  <si>
    <t>-15+∆</t>
  </si>
  <si>
    <t>-17+∆</t>
  </si>
  <si>
    <t>-20+∆</t>
  </si>
  <si>
    <t>-21+∆</t>
  </si>
  <si>
    <t>-23+∆</t>
  </si>
  <si>
    <t>N</t>
  </si>
  <si>
    <t>P to ZC</t>
  </si>
  <si>
    <t>P</t>
  </si>
  <si>
    <t>R</t>
  </si>
  <si>
    <t>S</t>
  </si>
  <si>
    <t>T</t>
  </si>
  <si>
    <t>U</t>
  </si>
  <si>
    <t>V</t>
  </si>
  <si>
    <t>X</t>
  </si>
  <si>
    <t>Y</t>
  </si>
  <si>
    <t>Z</t>
  </si>
  <si>
    <t>ZA</t>
  </si>
  <si>
    <t>ZB</t>
  </si>
  <si>
    <t>ZC</t>
  </si>
  <si>
    <t>2''</t>
  </si>
  <si>
    <r>
      <t xml:space="preserve">Values as for standard tolerance grades above IT7 increased by </t>
    </r>
    <r>
      <rPr>
        <sz val="11"/>
        <color theme="1"/>
        <rFont val="Aptos Narrow"/>
        <family val="2"/>
      </rPr>
      <t>∆</t>
    </r>
  </si>
  <si>
    <t>a</t>
  </si>
  <si>
    <t>b</t>
  </si>
  <si>
    <t>c</t>
  </si>
  <si>
    <t>cd</t>
  </si>
  <si>
    <t>d</t>
  </si>
  <si>
    <t>e</t>
  </si>
  <si>
    <t>ef</t>
  </si>
  <si>
    <t>f</t>
  </si>
  <si>
    <t>fg</t>
  </si>
  <si>
    <t>g</t>
  </si>
  <si>
    <t>h</t>
  </si>
  <si>
    <t>js</t>
  </si>
  <si>
    <t>j</t>
  </si>
  <si>
    <t>Fundamental deviation values</t>
  </si>
  <si>
    <t>−270</t>
  </si>
  <si>
    <t>−280</t>
  </si>
  <si>
    <t>−300</t>
  </si>
  <si>
    <t>−310</t>
  </si>
  <si>
    <t>−320</t>
  </si>
  <si>
    <t>−340</t>
  </si>
  <si>
    <t>−360</t>
  </si>
  <si>
    <t>−380</t>
  </si>
  <si>
    <t>−410</t>
  </si>
  <si>
    <t>−460</t>
  </si>
  <si>
    <t>−520</t>
  </si>
  <si>
    <t>−580</t>
  </si>
  <si>
    <t>−660</t>
  </si>
  <si>
    <t>−740</t>
  </si>
  <si>
    <t>−820</t>
  </si>
  <si>
    <t>−920</t>
  </si>
  <si>
    <t>−60</t>
  </si>
  <si>
    <t>−34</t>
  </si>
  <si>
    <t>−20</t>
  </si>
  <si>
    <t>−14</t>
  </si>
  <si>
    <t>−10</t>
  </si>
  <si>
    <t>−6</t>
  </si>
  <si>
    <t>−4</t>
  </si>
  <si>
    <t>−2</t>
  </si>
  <si>
    <t>−70</t>
  </si>
  <si>
    <t>−46</t>
  </si>
  <si>
    <t>−30</t>
  </si>
  <si>
    <t>−80</t>
  </si>
  <si>
    <t>−56</t>
  </si>
  <si>
    <t>−40</t>
  </si>
  <si>
    <t>−25</t>
  </si>
  <si>
    <t>−18</t>
  </si>
  <si>
    <t>−13</t>
  </si>
  <si>
    <t>−8</t>
  </si>
  <si>
    <t>−5</t>
  </si>
  <si>
    <t>−170</t>
  </si>
  <si>
    <t>−120</t>
  </si>
  <si>
    <t>−180</t>
  </si>
  <si>
    <t>−130</t>
  </si>
  <si>
    <t>−190</t>
  </si>
  <si>
    <t>−140</t>
  </si>
  <si>
    <t>−200</t>
  </si>
  <si>
    <t>−150</t>
  </si>
  <si>
    <t>−220</t>
  </si>
  <si>
    <t>−240</t>
  </si>
  <si>
    <t>−260</t>
  </si>
  <si>
    <t>−210</t>
  </si>
  <si>
    <t>−230</t>
  </si>
  <si>
    <t>−420</t>
  </si>
  <si>
    <t>−480</t>
  </si>
  <si>
    <t>−540</t>
  </si>
  <si>
    <t>−330</t>
  </si>
  <si>
    <t>−600</t>
  </si>
  <si>
    <t>−680</t>
  </si>
  <si>
    <t>−400</t>
  </si>
  <si>
    <t>−760</t>
  </si>
  <si>
    <t>−440</t>
  </si>
  <si>
    <t>−840</t>
  </si>
  <si>
    <t>IT5 and IT6</t>
  </si>
  <si>
    <r>
      <t xml:space="preserve">Lower deviation </t>
    </r>
    <r>
      <rPr>
        <b/>
        <i/>
        <sz val="14"/>
        <color theme="1"/>
        <rFont val="Aptos Narrow"/>
        <family val="2"/>
        <scheme val="minor"/>
      </rPr>
      <t>ei</t>
    </r>
  </si>
  <si>
    <r>
      <t xml:space="preserve">Upper limit deviation </t>
    </r>
    <r>
      <rPr>
        <b/>
        <i/>
        <sz val="14"/>
        <color theme="1"/>
        <rFont val="Aptos Narrow"/>
        <family val="2"/>
        <scheme val="minor"/>
      </rPr>
      <t>es</t>
    </r>
  </si>
  <si>
    <t>HOLE</t>
  </si>
  <si>
    <t>SHAFT</t>
  </si>
  <si>
    <t>Nominal diam.</t>
  </si>
  <si>
    <t>ES</t>
  </si>
  <si>
    <t>EI</t>
  </si>
  <si>
    <t>Φ</t>
  </si>
  <si>
    <t xml:space="preserve">Fit </t>
  </si>
  <si>
    <t>12 Φ H8/g7</t>
  </si>
  <si>
    <t>H8</t>
  </si>
  <si>
    <t>g7</t>
  </si>
  <si>
    <t>(</t>
  </si>
  <si>
    <t>)</t>
  </si>
  <si>
    <t>µm</t>
  </si>
  <si>
    <t>Lower limit HOLE</t>
  </si>
  <si>
    <t>Upper limit HOLE</t>
  </si>
  <si>
    <t>Upper limit SHAFT</t>
  </si>
  <si>
    <t>Lower limit SHAFT</t>
  </si>
  <si>
    <t>SPAN OF THE CLEAREANCE</t>
  </si>
  <si>
    <t>FITTINGS CALCULATIONS</t>
  </si>
  <si>
    <t>Symbols used</t>
  </si>
  <si>
    <t>SHAFT-BEARING</t>
  </si>
  <si>
    <t>(Structure to be copy-pasted)</t>
  </si>
  <si>
    <t>BRACKET-BEARING</t>
  </si>
  <si>
    <t>15 Φ H8/p7</t>
  </si>
  <si>
    <t>p7</t>
  </si>
  <si>
    <t>BUSHING-ROD</t>
  </si>
  <si>
    <t>9 Φ H8/g7</t>
  </si>
  <si>
    <t>es</t>
  </si>
  <si>
    <t>ei</t>
  </si>
  <si>
    <t>TRACK_BASE-TRACK</t>
  </si>
  <si>
    <t>60  H8/g7</t>
  </si>
  <si>
    <t>SPAN OF THE TRANSITION</t>
  </si>
  <si>
    <t>SPAN OF THE INTERFERENCE</t>
  </si>
  <si>
    <t>SLIDING-TRACK</t>
  </si>
  <si>
    <t>18  H7/g6</t>
  </si>
  <si>
    <t>H7</t>
  </si>
  <si>
    <t>g6</t>
  </si>
  <si>
    <t>Check @ MMC : Hole(min) - Shaft(max)</t>
  </si>
  <si>
    <t>Check @ LMC : Hole(max) - Shaft(min)</t>
  </si>
  <si>
    <t>Check @ Span : IT (hole) + IT (shaft)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</si>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</sst>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6"/>
      <color theme="1"/>
      <name val="Aptos Narrow"/>
      <family val="2"/>
      <scheme val="minor"/>
    </font>
    <font>
      <b/>
      <sz val="16"/>
      <color theme="1"/>
      <name val="Aptos Narrow"/>
      <family val="2"/>
    </font>
    <font>
      <b/>
      <sz val="10"/>
      <color theme="1"/>
      <name val="Aptos Narrow"/>
      <family val="2"/>
      <scheme val="minor"/>
    </font>
    <font>
      <b/>
      <i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i/>
      <sz val="14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/>
      <top/>
      <bottom/>
      <diagonal/>
    </border>
    <border>
      <left/>
      <right style="mediumDashed">
        <color auto="1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Dashed">
        <color auto="1"/>
      </top>
      <bottom style="medium">
        <color auto="1"/>
      </bottom>
      <diagonal/>
    </border>
    <border>
      <left/>
      <right style="medium">
        <color auto="1"/>
      </right>
      <top style="mediumDashed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4" xfId="0" applyBorder="1"/>
    <xf numFmtId="0" fontId="0" fillId="0" borderId="13" xfId="0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1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3" fillId="0" borderId="2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15" xfId="0" applyBorder="1"/>
    <xf numFmtId="0" fontId="3" fillId="0" borderId="26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/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horizontal="right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5" fillId="0" borderId="21" xfId="0" quotePrefix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26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0" fillId="0" borderId="37" xfId="0" applyBorder="1" applyAlignment="1">
      <alignment horizontal="center"/>
    </xf>
    <xf numFmtId="49" fontId="0" fillId="0" borderId="26" xfId="0" applyNumberFormat="1" applyBorder="1" applyAlignment="1">
      <alignment horizontal="center" vertical="center"/>
    </xf>
    <xf numFmtId="0" fontId="0" fillId="0" borderId="18" xfId="0" applyBorder="1" applyAlignment="1">
      <alignment horizontal="right" vertical="center"/>
    </xf>
    <xf numFmtId="0" fontId="0" fillId="0" borderId="19" xfId="0" applyBorder="1" applyAlignment="1">
      <alignment horizontal="right" vertical="center"/>
    </xf>
    <xf numFmtId="0" fontId="5" fillId="0" borderId="21" xfId="0" quotePrefix="1" applyFont="1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5" fillId="0" borderId="0" xfId="0" applyFont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7" xfId="0" applyBorder="1"/>
    <xf numFmtId="0" fontId="0" fillId="0" borderId="46" xfId="0" applyBorder="1"/>
    <xf numFmtId="0" fontId="0" fillId="0" borderId="50" xfId="0" applyBorder="1"/>
    <xf numFmtId="0" fontId="0" fillId="0" borderId="51" xfId="0" applyBorder="1"/>
    <xf numFmtId="0" fontId="0" fillId="0" borderId="15" xfId="0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0" xfId="0" applyFill="1"/>
    <xf numFmtId="0" fontId="0" fillId="6" borderId="48" xfId="0" applyFill="1" applyBorder="1" applyAlignment="1">
      <alignment horizontal="right"/>
    </xf>
    <xf numFmtId="0" fontId="0" fillId="0" borderId="0" xfId="0" applyAlignment="1">
      <alignment horizontal="left"/>
    </xf>
    <xf numFmtId="0" fontId="0" fillId="0" borderId="0" xfId="0" quotePrefix="1" applyAlignment="1">
      <alignment horizont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50" xfId="0" applyFont="1" applyBorder="1" applyAlignment="1">
      <alignment horizontal="center"/>
    </xf>
    <xf numFmtId="0" fontId="0" fillId="0" borderId="46" xfId="0" applyBorder="1" applyAlignment="1">
      <alignment horizontal="left"/>
    </xf>
    <xf numFmtId="0" fontId="0" fillId="0" borderId="0" xfId="0" applyAlignment="1">
      <alignment horizontal="left"/>
    </xf>
    <xf numFmtId="0" fontId="0" fillId="0" borderId="49" xfId="0" applyBorder="1" applyAlignment="1">
      <alignment horizontal="left"/>
    </xf>
    <xf numFmtId="0" fontId="0" fillId="0" borderId="50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14" fillId="4" borderId="5" xfId="0" applyFont="1" applyFill="1" applyBorder="1" applyAlignment="1">
      <alignment horizontal="center" vertical="center"/>
    </xf>
    <xf numFmtId="0" fontId="14" fillId="4" borderId="56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2" fillId="5" borderId="52" xfId="0" applyFont="1" applyFill="1" applyBorder="1" applyAlignment="1">
      <alignment horizontal="left"/>
    </xf>
    <xf numFmtId="0" fontId="12" fillId="5" borderId="53" xfId="0" applyFont="1" applyFill="1" applyBorder="1" applyAlignment="1">
      <alignment horizontal="left"/>
    </xf>
    <xf numFmtId="0" fontId="13" fillId="0" borderId="0" xfId="0" applyFont="1" applyAlignment="1">
      <alignment horizontal="left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9" fillId="2" borderId="39" xfId="0" applyFont="1" applyFill="1" applyBorder="1" applyAlignment="1">
      <alignment horizontal="center"/>
    </xf>
    <xf numFmtId="0" fontId="9" fillId="2" borderId="40" xfId="0" applyFont="1" applyFill="1" applyBorder="1" applyAlignment="1">
      <alignment horizontal="center"/>
    </xf>
    <xf numFmtId="0" fontId="9" fillId="2" borderId="41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1" xfId="0" applyBorder="1" applyAlignment="1">
      <alignment horizontal="right" vertical="center"/>
    </xf>
    <xf numFmtId="0" fontId="0" fillId="3" borderId="21" xfId="0" applyFill="1" applyBorder="1" applyAlignment="1">
      <alignment horizontal="right" vertical="center"/>
    </xf>
    <xf numFmtId="0" fontId="0" fillId="0" borderId="23" xfId="0" applyBorder="1" applyAlignment="1">
      <alignment horizontal="right" vertical="center"/>
    </xf>
    <xf numFmtId="0" fontId="4" fillId="0" borderId="18" xfId="0" applyFont="1" applyBorder="1" applyAlignment="1">
      <alignment horizontal="center" vertical="center" textRotation="90"/>
    </xf>
    <xf numFmtId="0" fontId="4" fillId="0" borderId="21" xfId="0" applyFont="1" applyBorder="1" applyAlignment="1">
      <alignment horizontal="center" vertical="center" textRotation="90"/>
    </xf>
    <xf numFmtId="0" fontId="4" fillId="0" borderId="23" xfId="0" applyFont="1" applyBorder="1" applyAlignment="1">
      <alignment horizontal="center" vertical="center" textRotation="90"/>
    </xf>
    <xf numFmtId="0" fontId="0" fillId="0" borderId="21" xfId="0" applyBorder="1" applyAlignment="1">
      <alignment horizontal="center" vertical="center"/>
    </xf>
    <xf numFmtId="0" fontId="0" fillId="0" borderId="21" xfId="0" quotePrefix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8" xfId="0" applyBorder="1" applyAlignment="1">
      <alignment horizontal="center" vertical="center" textRotation="90"/>
    </xf>
    <xf numFmtId="0" fontId="0" fillId="0" borderId="37" xfId="0" applyBorder="1" applyAlignment="1">
      <alignment horizontal="center" vertical="center" textRotation="90"/>
    </xf>
    <xf numFmtId="0" fontId="0" fillId="0" borderId="28" xfId="0" applyBorder="1" applyAlignment="1">
      <alignment horizontal="center" vertical="center" textRotation="90"/>
    </xf>
    <xf numFmtId="0" fontId="0" fillId="0" borderId="37" xfId="0" applyBorder="1" applyAlignment="1">
      <alignment horizont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21" xfId="0" quotePrefix="1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4" fillId="0" borderId="18" xfId="0" applyFont="1" applyBorder="1" applyAlignment="1">
      <alignment horizontal="right" vertical="center" textRotation="90"/>
    </xf>
    <xf numFmtId="0" fontId="4" fillId="0" borderId="21" xfId="0" applyFont="1" applyBorder="1" applyAlignment="1">
      <alignment horizontal="right" vertical="center" textRotation="90"/>
    </xf>
    <xf numFmtId="0" fontId="4" fillId="0" borderId="23" xfId="0" applyFont="1" applyBorder="1" applyAlignment="1">
      <alignment horizontal="right" vertical="center" textRotation="90"/>
    </xf>
    <xf numFmtId="0" fontId="0" fillId="0" borderId="27" xfId="0" applyBorder="1" applyAlignment="1">
      <alignment horizontal="right" vertical="center"/>
    </xf>
    <xf numFmtId="0" fontId="0" fillId="0" borderId="28" xfId="0" applyBorder="1" applyAlignment="1">
      <alignment horizontal="right" vertical="center"/>
    </xf>
    <xf numFmtId="0" fontId="0" fillId="4" borderId="21" xfId="0" applyFill="1" applyBorder="1" applyAlignment="1">
      <alignment horizontal="right" vertical="center"/>
    </xf>
    <xf numFmtId="0" fontId="0" fillId="0" borderId="30" xfId="0" applyBorder="1" applyAlignment="1">
      <alignment horizontal="right" vertical="center"/>
    </xf>
    <xf numFmtId="0" fontId="0" fillId="0" borderId="31" xfId="0" applyBorder="1" applyAlignment="1">
      <alignment horizontal="right" vertical="center"/>
    </xf>
    <xf numFmtId="0" fontId="0" fillId="0" borderId="32" xfId="0" applyBorder="1" applyAlignment="1">
      <alignment horizontal="right" vertical="center"/>
    </xf>
    <xf numFmtId="0" fontId="0" fillId="0" borderId="33" xfId="0" applyBorder="1" applyAlignment="1">
      <alignment horizontal="right" vertical="center"/>
    </xf>
    <xf numFmtId="0" fontId="0" fillId="0" borderId="29" xfId="0" applyBorder="1" applyAlignment="1">
      <alignment horizontal="right" vertical="center"/>
    </xf>
    <xf numFmtId="0" fontId="0" fillId="0" borderId="34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428625</xdr:colOff>
      <xdr:row>37</xdr:row>
      <xdr:rowOff>128587</xdr:rowOff>
    </xdr:from>
    <xdr:ext cx="65" cy="172227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772E2A86-B652-2821-41C1-360CD84069F7}"/>
            </a:ext>
          </a:extLst>
        </xdr:cNvPr>
        <xdr:cNvSpPr txBox="1"/>
      </xdr:nvSpPr>
      <xdr:spPr>
        <a:xfrm>
          <a:off x="9677400" y="29479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t-IT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5FFE-C6EF-44B6-B555-5C9F95E3DC1E}">
  <dimension ref="C1:P133"/>
  <sheetViews>
    <sheetView tabSelected="1" topLeftCell="C106" workbookViewId="0">
      <selection activeCell="H86" sqref="H86"/>
    </sheetView>
  </sheetViews>
  <sheetFormatPr defaultRowHeight="15" x14ac:dyDescent="0.25"/>
  <cols>
    <col min="14" max="14" width="10.7109375" customWidth="1"/>
  </cols>
  <sheetData>
    <row r="1" spans="3:16" ht="15.75" thickBot="1" x14ac:dyDescent="0.3"/>
    <row r="2" spans="3:16" ht="19.5" thickBot="1" x14ac:dyDescent="0.35">
      <c r="C2" s="76" t="s">
        <v>270</v>
      </c>
      <c r="D2" s="77"/>
      <c r="E2" s="77"/>
      <c r="F2" s="78"/>
      <c r="J2" s="82" t="s">
        <v>271</v>
      </c>
      <c r="K2" s="83"/>
      <c r="L2" s="2" t="s">
        <v>262</v>
      </c>
      <c r="M2" s="52" t="s">
        <v>257</v>
      </c>
      <c r="N2" s="52" t="s">
        <v>264</v>
      </c>
      <c r="O2" s="52" t="s">
        <v>0</v>
      </c>
      <c r="P2" t="s">
        <v>263</v>
      </c>
    </row>
    <row r="3" spans="3:16" ht="15.75" thickBot="1" x14ac:dyDescent="0.3">
      <c r="C3" s="79"/>
      <c r="D3" s="80"/>
      <c r="E3" s="80"/>
      <c r="F3" s="81"/>
    </row>
    <row r="6" spans="3:16" ht="15.75" x14ac:dyDescent="0.25">
      <c r="C6" s="84" t="s">
        <v>273</v>
      </c>
      <c r="D6" s="84"/>
      <c r="E6" s="84"/>
    </row>
    <row r="7" spans="3:16" ht="15.75" thickBot="1" x14ac:dyDescent="0.3"/>
    <row r="8" spans="3:16" ht="15.75" thickBot="1" x14ac:dyDescent="0.3">
      <c r="C8" s="53" t="s">
        <v>258</v>
      </c>
      <c r="D8" s="85"/>
      <c r="E8" s="86"/>
      <c r="F8" s="54"/>
      <c r="G8" s="54"/>
      <c r="H8" s="54"/>
      <c r="I8" s="54"/>
      <c r="J8" s="54"/>
      <c r="K8" s="54"/>
      <c r="L8" s="54"/>
      <c r="M8" s="54"/>
      <c r="N8" s="54"/>
      <c r="O8" s="55"/>
    </row>
    <row r="9" spans="3:16" ht="15.75" thickBot="1" x14ac:dyDescent="0.3">
      <c r="C9" s="69" t="s">
        <v>254</v>
      </c>
      <c r="D9" s="73"/>
      <c r="E9" s="60"/>
      <c r="F9" s="52" t="s">
        <v>0</v>
      </c>
      <c r="O9" s="56"/>
    </row>
    <row r="10" spans="3:16" ht="15.75" thickBot="1" x14ac:dyDescent="0.3">
      <c r="C10" s="57"/>
      <c r="O10" s="56"/>
    </row>
    <row r="11" spans="3:16" ht="15.75" thickBot="1" x14ac:dyDescent="0.3">
      <c r="C11" s="57" t="s">
        <v>252</v>
      </c>
      <c r="D11" s="25"/>
      <c r="F11" s="1" t="s">
        <v>255</v>
      </c>
      <c r="G11" s="65" t="s">
        <v>141</v>
      </c>
      <c r="H11" s="62"/>
      <c r="I11" s="52" t="s">
        <v>264</v>
      </c>
      <c r="K11" s="64" t="s">
        <v>266</v>
      </c>
      <c r="L11" s="64"/>
      <c r="M11" s="65" t="s">
        <v>141</v>
      </c>
      <c r="N11">
        <f>E9+(H11*10^(-3))</f>
        <v>0</v>
      </c>
      <c r="O11" s="56" t="s">
        <v>0</v>
      </c>
    </row>
    <row r="12" spans="3:16" x14ac:dyDescent="0.25">
      <c r="C12" s="57"/>
      <c r="F12" s="1" t="s">
        <v>256</v>
      </c>
      <c r="G12" s="66" t="s">
        <v>141</v>
      </c>
      <c r="H12" s="62"/>
      <c r="I12" s="52" t="s">
        <v>264</v>
      </c>
      <c r="K12" s="64" t="s">
        <v>265</v>
      </c>
      <c r="L12" s="64"/>
      <c r="M12" s="65" t="s">
        <v>141</v>
      </c>
      <c r="N12">
        <f>E9+(H12*10^(-3))</f>
        <v>0</v>
      </c>
      <c r="O12" s="56" t="s">
        <v>0</v>
      </c>
    </row>
    <row r="13" spans="3:16" x14ac:dyDescent="0.25">
      <c r="C13" s="57"/>
      <c r="F13" s="67" t="s">
        <v>292</v>
      </c>
      <c r="G13" s="66" t="s">
        <v>141</v>
      </c>
      <c r="H13" s="62"/>
      <c r="I13" s="52" t="s">
        <v>264</v>
      </c>
      <c r="O13" s="56"/>
    </row>
    <row r="14" spans="3:16" ht="15.75" thickBot="1" x14ac:dyDescent="0.3">
      <c r="C14" s="57"/>
      <c r="O14" s="56"/>
    </row>
    <row r="15" spans="3:16" ht="15.75" thickBot="1" x14ac:dyDescent="0.3">
      <c r="C15" s="57" t="s">
        <v>253</v>
      </c>
      <c r="D15" s="25"/>
      <c r="F15" s="1" t="s">
        <v>279</v>
      </c>
      <c r="G15" s="65" t="s">
        <v>141</v>
      </c>
      <c r="H15" s="62"/>
      <c r="I15" s="52" t="s">
        <v>264</v>
      </c>
      <c r="K15" s="64" t="s">
        <v>267</v>
      </c>
      <c r="L15" s="64"/>
      <c r="M15" s="65" t="s">
        <v>141</v>
      </c>
      <c r="N15">
        <f>E9+(H15*10^(-3))</f>
        <v>0</v>
      </c>
      <c r="O15" s="56" t="s">
        <v>0</v>
      </c>
    </row>
    <row r="16" spans="3:16" x14ac:dyDescent="0.25">
      <c r="C16" s="57"/>
      <c r="F16" s="1" t="s">
        <v>280</v>
      </c>
      <c r="G16" s="66" t="s">
        <v>141</v>
      </c>
      <c r="H16" s="62"/>
      <c r="I16" s="52" t="s">
        <v>264</v>
      </c>
      <c r="K16" s="64" t="s">
        <v>268</v>
      </c>
      <c r="L16" s="64"/>
      <c r="M16" s="65" t="s">
        <v>141</v>
      </c>
      <c r="N16">
        <f>E9+(H16*10^(-3))</f>
        <v>0</v>
      </c>
      <c r="O16" s="56" t="s">
        <v>0</v>
      </c>
    </row>
    <row r="17" spans="3:15" x14ac:dyDescent="0.25">
      <c r="C17" s="57"/>
      <c r="F17" s="1" t="s">
        <v>292</v>
      </c>
      <c r="G17" s="66" t="s">
        <v>141</v>
      </c>
      <c r="H17" s="63"/>
      <c r="I17" s="52" t="s">
        <v>264</v>
      </c>
      <c r="O17" s="56"/>
    </row>
    <row r="18" spans="3:15" x14ac:dyDescent="0.25">
      <c r="C18" s="57"/>
      <c r="O18" s="56"/>
    </row>
    <row r="19" spans="3:15" x14ac:dyDescent="0.25">
      <c r="C19" s="69" t="s">
        <v>289</v>
      </c>
      <c r="D19" s="70"/>
      <c r="E19" s="70"/>
      <c r="F19" s="70"/>
      <c r="G19" s="65" t="s">
        <v>141</v>
      </c>
      <c r="H19">
        <f>(N12-N15)*1000</f>
        <v>0</v>
      </c>
      <c r="I19" s="52" t="s">
        <v>264</v>
      </c>
      <c r="O19" s="56"/>
    </row>
    <row r="20" spans="3:15" x14ac:dyDescent="0.25">
      <c r="C20" s="69" t="s">
        <v>290</v>
      </c>
      <c r="D20" s="70"/>
      <c r="E20" s="70"/>
      <c r="F20" s="70"/>
      <c r="G20" s="65" t="s">
        <v>141</v>
      </c>
      <c r="H20">
        <f>(N11-N16)*1000</f>
        <v>0</v>
      </c>
      <c r="I20" s="52" t="s">
        <v>264</v>
      </c>
      <c r="O20" s="56"/>
    </row>
    <row r="21" spans="3:15" x14ac:dyDescent="0.25">
      <c r="C21" s="69" t="s">
        <v>291</v>
      </c>
      <c r="D21" s="70"/>
      <c r="E21" s="70"/>
      <c r="F21" s="70"/>
      <c r="G21" s="65" t="s">
        <v>141</v>
      </c>
      <c r="H21">
        <f>H13+H17</f>
        <v>0</v>
      </c>
      <c r="I21" s="52" t="s">
        <v>264</v>
      </c>
      <c r="O21" s="56"/>
    </row>
    <row r="22" spans="3:15" x14ac:dyDescent="0.25">
      <c r="C22" s="57"/>
      <c r="O22" s="56"/>
    </row>
    <row r="23" spans="3:15" x14ac:dyDescent="0.25">
      <c r="C23" s="69" t="s">
        <v>269</v>
      </c>
      <c r="D23" s="70"/>
      <c r="E23" s="70"/>
      <c r="F23" s="1"/>
      <c r="G23" s="52" t="s">
        <v>264</v>
      </c>
      <c r="O23" s="56"/>
    </row>
    <row r="24" spans="3:15" x14ac:dyDescent="0.25">
      <c r="C24" s="69" t="s">
        <v>283</v>
      </c>
      <c r="D24" s="70"/>
      <c r="E24" s="70"/>
      <c r="G24" s="52" t="s">
        <v>264</v>
      </c>
      <c r="O24" s="56"/>
    </row>
    <row r="25" spans="3:15" ht="15.75" thickBot="1" x14ac:dyDescent="0.3">
      <c r="C25" s="71" t="s">
        <v>284</v>
      </c>
      <c r="D25" s="72"/>
      <c r="E25" s="72"/>
      <c r="F25" s="58"/>
      <c r="G25" s="68" t="s">
        <v>264</v>
      </c>
      <c r="H25" s="58"/>
      <c r="I25" s="58"/>
      <c r="J25" s="58"/>
      <c r="K25" s="58"/>
      <c r="L25" s="58"/>
      <c r="M25" s="58"/>
      <c r="N25" s="58"/>
      <c r="O25" s="59"/>
    </row>
    <row r="29" spans="3:15" ht="15.75" thickBot="1" x14ac:dyDescent="0.3">
      <c r="C29" s="70" t="s">
        <v>272</v>
      </c>
      <c r="D29" s="70"/>
    </row>
    <row r="30" spans="3:15" ht="15.75" thickBot="1" x14ac:dyDescent="0.3">
      <c r="C30" s="53" t="s">
        <v>258</v>
      </c>
      <c r="D30" s="74" t="s">
        <v>259</v>
      </c>
      <c r="E30" s="75"/>
      <c r="F30" s="54"/>
      <c r="G30" s="54"/>
      <c r="H30" s="54"/>
      <c r="I30" s="54"/>
      <c r="J30" s="54"/>
      <c r="K30" s="54"/>
      <c r="L30" s="54"/>
      <c r="M30" s="54"/>
      <c r="N30" s="54"/>
      <c r="O30" s="55"/>
    </row>
    <row r="31" spans="3:15" ht="15.75" thickBot="1" x14ac:dyDescent="0.3">
      <c r="C31" s="69" t="s">
        <v>254</v>
      </c>
      <c r="D31" s="73"/>
      <c r="E31" s="60">
        <v>12</v>
      </c>
      <c r="F31" s="52" t="s">
        <v>0</v>
      </c>
      <c r="O31" s="56"/>
    </row>
    <row r="32" spans="3:15" ht="15.75" thickBot="1" x14ac:dyDescent="0.3">
      <c r="C32" s="57"/>
      <c r="O32" s="56"/>
    </row>
    <row r="33" spans="3:15" ht="15.75" thickBot="1" x14ac:dyDescent="0.3">
      <c r="C33" s="57" t="s">
        <v>252</v>
      </c>
      <c r="D33" s="25" t="s">
        <v>260</v>
      </c>
      <c r="F33" s="1" t="s">
        <v>255</v>
      </c>
      <c r="G33" s="65" t="s">
        <v>141</v>
      </c>
      <c r="H33" s="62">
        <v>27</v>
      </c>
      <c r="I33" s="52" t="s">
        <v>264</v>
      </c>
      <c r="K33" s="64" t="s">
        <v>266</v>
      </c>
      <c r="L33" s="64"/>
      <c r="M33" s="65" t="s">
        <v>141</v>
      </c>
      <c r="N33">
        <f>E31+(H33*10^(-3))</f>
        <v>12.026999999999999</v>
      </c>
      <c r="O33" s="56" t="s">
        <v>0</v>
      </c>
    </row>
    <row r="34" spans="3:15" x14ac:dyDescent="0.25">
      <c r="C34" s="57"/>
      <c r="F34" s="1" t="s">
        <v>256</v>
      </c>
      <c r="G34" s="66" t="s">
        <v>141</v>
      </c>
      <c r="H34" s="62">
        <v>0</v>
      </c>
      <c r="I34" s="52" t="s">
        <v>264</v>
      </c>
      <c r="K34" s="64" t="s">
        <v>265</v>
      </c>
      <c r="L34" s="64"/>
      <c r="M34" s="65" t="s">
        <v>141</v>
      </c>
      <c r="N34">
        <f>E31+(H34*10^(-3))</f>
        <v>12</v>
      </c>
      <c r="O34" s="56" t="s">
        <v>0</v>
      </c>
    </row>
    <row r="35" spans="3:15" x14ac:dyDescent="0.25">
      <c r="C35" s="57"/>
      <c r="F35" s="67" t="s">
        <v>16</v>
      </c>
      <c r="G35" s="66" t="s">
        <v>141</v>
      </c>
      <c r="H35" s="62">
        <v>27</v>
      </c>
      <c r="I35" s="52" t="s">
        <v>264</v>
      </c>
      <c r="O35" s="56"/>
    </row>
    <row r="36" spans="3:15" ht="15.75" thickBot="1" x14ac:dyDescent="0.3">
      <c r="C36" s="57"/>
      <c r="O36" s="56"/>
    </row>
    <row r="37" spans="3:15" ht="15.75" thickBot="1" x14ac:dyDescent="0.3">
      <c r="C37" s="57" t="s">
        <v>253</v>
      </c>
      <c r="D37" s="25"/>
      <c r="F37" s="1" t="s">
        <v>279</v>
      </c>
      <c r="G37" s="65" t="s">
        <v>141</v>
      </c>
      <c r="H37" s="62">
        <v>-6</v>
      </c>
      <c r="I37" s="52" t="s">
        <v>264</v>
      </c>
      <c r="K37" s="64" t="s">
        <v>267</v>
      </c>
      <c r="L37" s="64"/>
      <c r="M37" s="65" t="s">
        <v>141</v>
      </c>
      <c r="N37">
        <f>E31+(H37*10^(-3))</f>
        <v>11.994</v>
      </c>
      <c r="O37" s="56" t="s">
        <v>0</v>
      </c>
    </row>
    <row r="38" spans="3:15" x14ac:dyDescent="0.25">
      <c r="C38" s="57"/>
      <c r="F38" s="1" t="s">
        <v>280</v>
      </c>
      <c r="G38" s="66" t="s">
        <v>141</v>
      </c>
      <c r="H38" s="62">
        <f>H37-H39</f>
        <v>-24</v>
      </c>
      <c r="I38" s="52" t="s">
        <v>264</v>
      </c>
      <c r="K38" s="64" t="s">
        <v>268</v>
      </c>
      <c r="L38" s="64"/>
      <c r="M38" s="65" t="s">
        <v>141</v>
      </c>
      <c r="N38">
        <f>E31+(H38*10^(-3))</f>
        <v>11.976000000000001</v>
      </c>
      <c r="O38" s="56" t="s">
        <v>0</v>
      </c>
    </row>
    <row r="39" spans="3:15" x14ac:dyDescent="0.25">
      <c r="C39" s="57"/>
      <c r="F39" s="1" t="s">
        <v>15</v>
      </c>
      <c r="G39" s="66" t="s">
        <v>141</v>
      </c>
      <c r="H39" s="63">
        <v>18</v>
      </c>
      <c r="I39" s="52" t="s">
        <v>264</v>
      </c>
      <c r="O39" s="56"/>
    </row>
    <row r="40" spans="3:15" x14ac:dyDescent="0.25">
      <c r="C40" s="57"/>
      <c r="O40" s="56"/>
    </row>
    <row r="41" spans="3:15" x14ac:dyDescent="0.25">
      <c r="C41" s="69" t="s">
        <v>289</v>
      </c>
      <c r="D41" s="70"/>
      <c r="E41" s="70"/>
      <c r="F41" s="70"/>
      <c r="G41" s="65" t="s">
        <v>141</v>
      </c>
      <c r="H41">
        <f>(N34-N37)*1000</f>
        <v>6.0000000000002274</v>
      </c>
      <c r="I41" s="52" t="s">
        <v>264</v>
      </c>
      <c r="O41" s="56"/>
    </row>
    <row r="42" spans="3:15" x14ac:dyDescent="0.25">
      <c r="C42" s="69" t="s">
        <v>290</v>
      </c>
      <c r="D42" s="70"/>
      <c r="E42" s="70"/>
      <c r="F42" s="70"/>
      <c r="G42" s="65" t="s">
        <v>141</v>
      </c>
      <c r="H42">
        <f>(N33-N38)*1000</f>
        <v>50.99999999999838</v>
      </c>
      <c r="I42" s="52" t="s">
        <v>264</v>
      </c>
      <c r="O42" s="56"/>
    </row>
    <row r="43" spans="3:15" x14ac:dyDescent="0.25">
      <c r="C43" s="69" t="s">
        <v>291</v>
      </c>
      <c r="D43" s="70"/>
      <c r="E43" s="70"/>
      <c r="F43" s="70"/>
      <c r="G43" s="65" t="s">
        <v>141</v>
      </c>
      <c r="H43">
        <f>H35+H39</f>
        <v>45</v>
      </c>
      <c r="I43" s="52" t="s">
        <v>264</v>
      </c>
      <c r="O43" s="56"/>
    </row>
    <row r="44" spans="3:15" x14ac:dyDescent="0.25">
      <c r="C44" s="57"/>
      <c r="O44" s="56"/>
    </row>
    <row r="45" spans="3:15" x14ac:dyDescent="0.25">
      <c r="C45" s="69" t="s">
        <v>269</v>
      </c>
      <c r="D45" s="70"/>
      <c r="E45" s="70"/>
      <c r="F45" s="1">
        <f>H42-H41</f>
        <v>44.999999999998153</v>
      </c>
      <c r="G45" s="52" t="s">
        <v>264</v>
      </c>
      <c r="O45" s="56"/>
    </row>
    <row r="46" spans="3:15" x14ac:dyDescent="0.25">
      <c r="C46" s="69" t="s">
        <v>283</v>
      </c>
      <c r="D46" s="70"/>
      <c r="E46" s="70"/>
      <c r="G46" s="52" t="s">
        <v>264</v>
      </c>
      <c r="O46" s="56"/>
    </row>
    <row r="47" spans="3:15" ht="15.75" thickBot="1" x14ac:dyDescent="0.3">
      <c r="C47" s="71" t="s">
        <v>284</v>
      </c>
      <c r="D47" s="72"/>
      <c r="E47" s="72"/>
      <c r="F47" s="58"/>
      <c r="G47" s="68" t="s">
        <v>264</v>
      </c>
      <c r="H47" s="58"/>
      <c r="I47" s="58"/>
      <c r="J47" s="58"/>
      <c r="K47" s="58"/>
      <c r="L47" s="58"/>
      <c r="M47" s="58"/>
      <c r="N47" s="58"/>
      <c r="O47" s="59"/>
    </row>
    <row r="50" spans="3:15" ht="15.75" thickBot="1" x14ac:dyDescent="0.3">
      <c r="C50" t="s">
        <v>274</v>
      </c>
    </row>
    <row r="51" spans="3:15" ht="15.75" thickBot="1" x14ac:dyDescent="0.3">
      <c r="C51" s="53" t="s">
        <v>258</v>
      </c>
      <c r="D51" s="74" t="s">
        <v>275</v>
      </c>
      <c r="E51" s="75"/>
      <c r="F51" s="54"/>
      <c r="G51" s="54"/>
      <c r="H51" s="54"/>
      <c r="I51" s="54"/>
      <c r="J51" s="54"/>
      <c r="K51" s="54"/>
      <c r="L51" s="54"/>
      <c r="M51" s="54"/>
      <c r="N51" s="54"/>
      <c r="O51" s="55"/>
    </row>
    <row r="52" spans="3:15" ht="15.75" thickBot="1" x14ac:dyDescent="0.3">
      <c r="C52" s="69" t="s">
        <v>254</v>
      </c>
      <c r="D52" s="73"/>
      <c r="E52" s="60">
        <v>15</v>
      </c>
      <c r="F52" s="52" t="s">
        <v>0</v>
      </c>
      <c r="O52" s="56"/>
    </row>
    <row r="53" spans="3:15" ht="15.75" thickBot="1" x14ac:dyDescent="0.3">
      <c r="C53" s="57"/>
      <c r="O53" s="56"/>
    </row>
    <row r="54" spans="3:15" ht="15.75" thickBot="1" x14ac:dyDescent="0.3">
      <c r="C54" s="57" t="s">
        <v>252</v>
      </c>
      <c r="D54" s="25" t="s">
        <v>260</v>
      </c>
      <c r="F54" s="1" t="s">
        <v>255</v>
      </c>
      <c r="G54" s="65" t="s">
        <v>141</v>
      </c>
      <c r="H54" s="62">
        <f>H55+H56</f>
        <v>27</v>
      </c>
      <c r="I54" s="52" t="s">
        <v>264</v>
      </c>
      <c r="K54" s="64" t="s">
        <v>266</v>
      </c>
      <c r="L54" s="64"/>
      <c r="M54" s="65" t="s">
        <v>141</v>
      </c>
      <c r="N54">
        <f>E52+(H54*10^(-3))</f>
        <v>15.026999999999999</v>
      </c>
      <c r="O54" s="56" t="s">
        <v>0</v>
      </c>
    </row>
    <row r="55" spans="3:15" x14ac:dyDescent="0.25">
      <c r="C55" s="57"/>
      <c r="F55" s="1" t="s">
        <v>256</v>
      </c>
      <c r="G55" s="66" t="s">
        <v>141</v>
      </c>
      <c r="H55" s="62">
        <v>0</v>
      </c>
      <c r="I55" s="52" t="s">
        <v>264</v>
      </c>
      <c r="K55" s="64" t="s">
        <v>265</v>
      </c>
      <c r="L55" s="64"/>
      <c r="M55" s="65" t="s">
        <v>141</v>
      </c>
      <c r="N55">
        <f>E52+(H55*10^(-3))</f>
        <v>15</v>
      </c>
      <c r="O55" s="56" t="s">
        <v>0</v>
      </c>
    </row>
    <row r="56" spans="3:15" x14ac:dyDescent="0.25">
      <c r="C56" s="57"/>
      <c r="F56" s="67" t="s">
        <v>16</v>
      </c>
      <c r="G56" s="66" t="s">
        <v>141</v>
      </c>
      <c r="H56" s="62">
        <v>27</v>
      </c>
      <c r="I56" s="52" t="s">
        <v>264</v>
      </c>
      <c r="O56" s="56"/>
    </row>
    <row r="57" spans="3:15" ht="15.75" thickBot="1" x14ac:dyDescent="0.3">
      <c r="C57" s="57"/>
      <c r="O57" s="56"/>
    </row>
    <row r="58" spans="3:15" ht="15.75" thickBot="1" x14ac:dyDescent="0.3">
      <c r="C58" s="57" t="s">
        <v>253</v>
      </c>
      <c r="D58" s="25" t="s">
        <v>276</v>
      </c>
      <c r="F58" s="1" t="s">
        <v>279</v>
      </c>
      <c r="G58" s="65" t="s">
        <v>141</v>
      </c>
      <c r="H58" s="62">
        <f>H59+H60</f>
        <v>36</v>
      </c>
      <c r="I58" s="52" t="s">
        <v>264</v>
      </c>
      <c r="K58" s="64" t="s">
        <v>267</v>
      </c>
      <c r="L58" s="64"/>
      <c r="M58" s="65" t="s">
        <v>141</v>
      </c>
      <c r="N58">
        <f>E52+(H58*10^(-3))</f>
        <v>15.036</v>
      </c>
      <c r="O58" s="56" t="s">
        <v>0</v>
      </c>
    </row>
    <row r="59" spans="3:15" x14ac:dyDescent="0.25">
      <c r="C59" s="57"/>
      <c r="F59" s="1" t="s">
        <v>280</v>
      </c>
      <c r="G59" s="66" t="s">
        <v>141</v>
      </c>
      <c r="H59" s="62">
        <v>18</v>
      </c>
      <c r="I59" s="52" t="s">
        <v>264</v>
      </c>
      <c r="K59" s="64" t="s">
        <v>268</v>
      </c>
      <c r="L59" s="64"/>
      <c r="M59" s="65" t="s">
        <v>141</v>
      </c>
      <c r="N59">
        <f>E52+(H59*10^(-3))</f>
        <v>15.018000000000001</v>
      </c>
      <c r="O59" s="56" t="s">
        <v>0</v>
      </c>
    </row>
    <row r="60" spans="3:15" x14ac:dyDescent="0.25">
      <c r="C60" s="57"/>
      <c r="F60" s="1" t="s">
        <v>15</v>
      </c>
      <c r="G60" s="66" t="s">
        <v>141</v>
      </c>
      <c r="H60" s="62">
        <v>18</v>
      </c>
      <c r="I60" s="52" t="s">
        <v>264</v>
      </c>
      <c r="O60" s="56"/>
    </row>
    <row r="61" spans="3:15" x14ac:dyDescent="0.25">
      <c r="C61" s="57"/>
      <c r="O61" s="56"/>
    </row>
    <row r="62" spans="3:15" x14ac:dyDescent="0.25">
      <c r="C62" s="69" t="s">
        <v>289</v>
      </c>
      <c r="D62" s="70"/>
      <c r="E62" s="70"/>
      <c r="F62" s="70"/>
      <c r="G62" s="65" t="s">
        <v>141</v>
      </c>
      <c r="H62" s="62">
        <f>(N55-N58)*1000</f>
        <v>-35.999999999999588</v>
      </c>
      <c r="I62" s="52" t="s">
        <v>264</v>
      </c>
      <c r="O62" s="56"/>
    </row>
    <row r="63" spans="3:15" x14ac:dyDescent="0.25">
      <c r="C63" s="69" t="s">
        <v>290</v>
      </c>
      <c r="D63" s="70"/>
      <c r="E63" s="70"/>
      <c r="F63" s="70"/>
      <c r="G63" s="65" t="s">
        <v>141</v>
      </c>
      <c r="H63" s="62">
        <f>(N54-N59)*1000</f>
        <v>8.9999999999985647</v>
      </c>
      <c r="I63" s="52" t="s">
        <v>264</v>
      </c>
      <c r="O63" s="56"/>
    </row>
    <row r="64" spans="3:15" x14ac:dyDescent="0.25">
      <c r="C64" s="69" t="s">
        <v>291</v>
      </c>
      <c r="D64" s="70"/>
      <c r="E64" s="70"/>
      <c r="F64" s="70"/>
      <c r="G64" s="65" t="s">
        <v>141</v>
      </c>
      <c r="H64" s="62">
        <f>H56+H60</f>
        <v>45</v>
      </c>
      <c r="I64" s="52" t="s">
        <v>264</v>
      </c>
      <c r="O64" s="56"/>
    </row>
    <row r="65" spans="3:15" x14ac:dyDescent="0.25">
      <c r="C65" s="57"/>
      <c r="O65" s="56"/>
    </row>
    <row r="66" spans="3:15" x14ac:dyDescent="0.25">
      <c r="C66" s="69" t="s">
        <v>269</v>
      </c>
      <c r="D66" s="70"/>
      <c r="E66" s="70"/>
      <c r="F66" s="1"/>
      <c r="G66" s="52" t="s">
        <v>264</v>
      </c>
      <c r="O66" s="56"/>
    </row>
    <row r="67" spans="3:15" x14ac:dyDescent="0.25">
      <c r="C67" s="69" t="s">
        <v>283</v>
      </c>
      <c r="D67" s="70"/>
      <c r="E67" s="70"/>
      <c r="F67">
        <f>ABS(H62)+H63</f>
        <v>44.999999999998153</v>
      </c>
      <c r="G67" s="52" t="s">
        <v>264</v>
      </c>
      <c r="O67" s="56"/>
    </row>
    <row r="68" spans="3:15" ht="15.75" thickBot="1" x14ac:dyDescent="0.3">
      <c r="C68" s="71" t="s">
        <v>284</v>
      </c>
      <c r="D68" s="72"/>
      <c r="E68" s="72"/>
      <c r="F68" s="58"/>
      <c r="G68" s="68" t="s">
        <v>264</v>
      </c>
      <c r="H68" s="58"/>
      <c r="I68" s="58"/>
      <c r="J68" s="58"/>
      <c r="K68" s="58"/>
      <c r="L68" s="58"/>
      <c r="M68" s="58"/>
      <c r="N68" s="58"/>
      <c r="O68" s="59"/>
    </row>
    <row r="72" spans="3:15" ht="15.75" thickBot="1" x14ac:dyDescent="0.3">
      <c r="C72" t="s">
        <v>277</v>
      </c>
    </row>
    <row r="73" spans="3:15" ht="15.75" thickBot="1" x14ac:dyDescent="0.3">
      <c r="C73" s="53" t="s">
        <v>258</v>
      </c>
      <c r="D73" s="74" t="s">
        <v>278</v>
      </c>
      <c r="E73" s="75"/>
      <c r="F73" s="54"/>
      <c r="G73" s="54"/>
      <c r="H73" s="54"/>
      <c r="I73" s="54"/>
      <c r="J73" s="54"/>
      <c r="K73" s="54"/>
      <c r="L73" s="54"/>
      <c r="M73" s="54"/>
      <c r="N73" s="54"/>
      <c r="O73" s="55"/>
    </row>
    <row r="74" spans="3:15" ht="15.75" thickBot="1" x14ac:dyDescent="0.3">
      <c r="C74" s="69" t="s">
        <v>254</v>
      </c>
      <c r="D74" s="73"/>
      <c r="E74" s="60">
        <v>9</v>
      </c>
      <c r="F74" s="52" t="s">
        <v>0</v>
      </c>
      <c r="O74" s="56"/>
    </row>
    <row r="75" spans="3:15" ht="15.75" thickBot="1" x14ac:dyDescent="0.3">
      <c r="C75" s="57"/>
      <c r="O75" s="56"/>
    </row>
    <row r="76" spans="3:15" ht="15.75" thickBot="1" x14ac:dyDescent="0.3">
      <c r="C76" s="57" t="s">
        <v>252</v>
      </c>
      <c r="D76" s="25" t="s">
        <v>260</v>
      </c>
      <c r="F76" s="1" t="s">
        <v>255</v>
      </c>
      <c r="G76" s="65" t="s">
        <v>141</v>
      </c>
      <c r="H76" s="62">
        <f>H77+H78</f>
        <v>22</v>
      </c>
      <c r="I76" s="52" t="s">
        <v>264</v>
      </c>
      <c r="K76" s="64" t="s">
        <v>266</v>
      </c>
      <c r="L76" s="64"/>
      <c r="M76" s="65" t="s">
        <v>141</v>
      </c>
      <c r="N76">
        <f>E74+(H76*10^(-3))</f>
        <v>9.0220000000000002</v>
      </c>
      <c r="O76" s="56" t="s">
        <v>0</v>
      </c>
    </row>
    <row r="77" spans="3:15" x14ac:dyDescent="0.25">
      <c r="C77" s="57"/>
      <c r="F77" s="1" t="s">
        <v>256</v>
      </c>
      <c r="G77" s="66" t="s">
        <v>141</v>
      </c>
      <c r="H77" s="62">
        <v>0</v>
      </c>
      <c r="I77" s="52" t="s">
        <v>264</v>
      </c>
      <c r="K77" s="64" t="s">
        <v>265</v>
      </c>
      <c r="L77" s="64"/>
      <c r="M77" s="65" t="s">
        <v>141</v>
      </c>
      <c r="N77">
        <f>E74+(H77*10^(-3))</f>
        <v>9</v>
      </c>
      <c r="O77" s="56" t="s">
        <v>0</v>
      </c>
    </row>
    <row r="78" spans="3:15" x14ac:dyDescent="0.25">
      <c r="C78" s="57"/>
      <c r="F78" s="67" t="s">
        <v>16</v>
      </c>
      <c r="G78" s="66" t="s">
        <v>141</v>
      </c>
      <c r="H78" s="62">
        <v>22</v>
      </c>
      <c r="I78" s="52" t="s">
        <v>264</v>
      </c>
      <c r="O78" s="56"/>
    </row>
    <row r="79" spans="3:15" ht="15.75" thickBot="1" x14ac:dyDescent="0.3">
      <c r="C79" s="57"/>
      <c r="O79" s="56"/>
    </row>
    <row r="80" spans="3:15" ht="15.75" thickBot="1" x14ac:dyDescent="0.3">
      <c r="C80" s="57" t="s">
        <v>253</v>
      </c>
      <c r="D80" s="25" t="s">
        <v>261</v>
      </c>
      <c r="F80" s="1" t="s">
        <v>279</v>
      </c>
      <c r="G80" s="65" t="s">
        <v>141</v>
      </c>
      <c r="H80" s="62">
        <v>-5</v>
      </c>
      <c r="I80" s="52" t="s">
        <v>264</v>
      </c>
      <c r="K80" s="64" t="s">
        <v>267</v>
      </c>
      <c r="L80" s="64"/>
      <c r="M80" s="65" t="s">
        <v>141</v>
      </c>
      <c r="N80">
        <f>E74+(H80*10^(-3))</f>
        <v>8.9949999999999992</v>
      </c>
      <c r="O80" s="56" t="s">
        <v>0</v>
      </c>
    </row>
    <row r="81" spans="3:15" x14ac:dyDescent="0.25">
      <c r="C81" s="57"/>
      <c r="F81" s="1" t="s">
        <v>280</v>
      </c>
      <c r="G81" s="66" t="s">
        <v>141</v>
      </c>
      <c r="H81" s="62">
        <f>H80-H82</f>
        <v>-20</v>
      </c>
      <c r="I81" s="52" t="s">
        <v>264</v>
      </c>
      <c r="K81" s="64" t="s">
        <v>268</v>
      </c>
      <c r="L81" s="64"/>
      <c r="M81" s="65" t="s">
        <v>141</v>
      </c>
      <c r="N81">
        <f>E74+(H81*10^(-3))</f>
        <v>8.98</v>
      </c>
      <c r="O81" s="56" t="s">
        <v>0</v>
      </c>
    </row>
    <row r="82" spans="3:15" x14ac:dyDescent="0.25">
      <c r="C82" s="57"/>
      <c r="F82" s="1" t="s">
        <v>15</v>
      </c>
      <c r="G82" s="66" t="s">
        <v>141</v>
      </c>
      <c r="H82" s="63">
        <v>15</v>
      </c>
      <c r="I82" s="52" t="s">
        <v>264</v>
      </c>
      <c r="O82" s="56"/>
    </row>
    <row r="83" spans="3:15" x14ac:dyDescent="0.25">
      <c r="C83" s="57"/>
      <c r="O83" s="56"/>
    </row>
    <row r="84" spans="3:15" x14ac:dyDescent="0.25">
      <c r="C84" s="69" t="s">
        <v>289</v>
      </c>
      <c r="D84" s="70"/>
      <c r="E84" s="70"/>
      <c r="F84" s="70"/>
      <c r="G84" s="65" t="s">
        <v>141</v>
      </c>
      <c r="H84">
        <f>(N77-N80)*1000</f>
        <v>5.0000000000007816</v>
      </c>
      <c r="I84" s="52" t="s">
        <v>264</v>
      </c>
      <c r="O84" s="56"/>
    </row>
    <row r="85" spans="3:15" x14ac:dyDescent="0.25">
      <c r="C85" s="69" t="s">
        <v>290</v>
      </c>
      <c r="D85" s="70"/>
      <c r="E85" s="70"/>
      <c r="F85" s="70"/>
      <c r="G85" s="65" t="s">
        <v>141</v>
      </c>
      <c r="H85">
        <f>(N76-N81)*1000</f>
        <v>41.999999999999815</v>
      </c>
      <c r="I85" s="52" t="s">
        <v>264</v>
      </c>
      <c r="O85" s="56"/>
    </row>
    <row r="86" spans="3:15" x14ac:dyDescent="0.25">
      <c r="C86" s="69" t="s">
        <v>291</v>
      </c>
      <c r="D86" s="70"/>
      <c r="E86" s="70"/>
      <c r="F86" s="70"/>
      <c r="G86" s="65" t="s">
        <v>141</v>
      </c>
      <c r="H86">
        <f>H78+H82</f>
        <v>37</v>
      </c>
      <c r="I86" s="52" t="s">
        <v>264</v>
      </c>
      <c r="O86" s="56"/>
    </row>
    <row r="87" spans="3:15" x14ac:dyDescent="0.25">
      <c r="C87" s="57"/>
      <c r="O87" s="56"/>
    </row>
    <row r="88" spans="3:15" x14ac:dyDescent="0.25">
      <c r="C88" s="69" t="s">
        <v>269</v>
      </c>
      <c r="D88" s="70"/>
      <c r="E88" s="70"/>
      <c r="F88" s="1">
        <f>H85-H84</f>
        <v>36.999999999999034</v>
      </c>
      <c r="G88" s="52" t="s">
        <v>264</v>
      </c>
      <c r="O88" s="56"/>
    </row>
    <row r="89" spans="3:15" x14ac:dyDescent="0.25">
      <c r="C89" s="69" t="s">
        <v>283</v>
      </c>
      <c r="D89" s="70"/>
      <c r="E89" s="70"/>
      <c r="G89" s="52" t="s">
        <v>264</v>
      </c>
      <c r="O89" s="56"/>
    </row>
    <row r="90" spans="3:15" ht="15.75" thickBot="1" x14ac:dyDescent="0.3">
      <c r="C90" s="71" t="s">
        <v>284</v>
      </c>
      <c r="D90" s="72"/>
      <c r="E90" s="72"/>
      <c r="F90" s="58"/>
      <c r="G90" s="68" t="s">
        <v>264</v>
      </c>
      <c r="H90" s="58"/>
      <c r="I90" s="58"/>
      <c r="J90" s="58"/>
      <c r="K90" s="58"/>
      <c r="L90" s="58"/>
      <c r="M90" s="58"/>
      <c r="N90" s="58"/>
      <c r="O90" s="59"/>
    </row>
    <row r="93" spans="3:15" ht="15.75" thickBot="1" x14ac:dyDescent="0.3">
      <c r="C93" t="s">
        <v>281</v>
      </c>
    </row>
    <row r="94" spans="3:15" ht="15.75" thickBot="1" x14ac:dyDescent="0.3">
      <c r="C94" s="53" t="s">
        <v>258</v>
      </c>
      <c r="D94" s="74" t="s">
        <v>282</v>
      </c>
      <c r="E94" s="75"/>
      <c r="F94" s="54"/>
      <c r="G94" s="54"/>
      <c r="H94" s="54"/>
      <c r="I94" s="54"/>
      <c r="J94" s="54"/>
      <c r="K94" s="54"/>
      <c r="L94" s="54"/>
      <c r="M94" s="54"/>
      <c r="N94" s="54"/>
      <c r="O94" s="55"/>
    </row>
    <row r="95" spans="3:15" ht="15.75" thickBot="1" x14ac:dyDescent="0.3">
      <c r="C95" s="69" t="s">
        <v>254</v>
      </c>
      <c r="D95" s="73"/>
      <c r="E95" s="60">
        <v>60</v>
      </c>
      <c r="F95" s="52" t="s">
        <v>0</v>
      </c>
      <c r="O95" s="56"/>
    </row>
    <row r="96" spans="3:15" ht="15.75" thickBot="1" x14ac:dyDescent="0.3">
      <c r="C96" s="57"/>
      <c r="O96" s="56"/>
    </row>
    <row r="97" spans="3:15" ht="15.75" thickBot="1" x14ac:dyDescent="0.3">
      <c r="C97" s="57" t="s">
        <v>252</v>
      </c>
      <c r="D97" s="25" t="s">
        <v>260</v>
      </c>
      <c r="F97" s="1" t="s">
        <v>255</v>
      </c>
      <c r="G97" s="65" t="s">
        <v>141</v>
      </c>
      <c r="H97" s="62">
        <f>H98+H99</f>
        <v>46</v>
      </c>
      <c r="I97" s="52" t="s">
        <v>264</v>
      </c>
      <c r="K97" s="64" t="s">
        <v>266</v>
      </c>
      <c r="L97" s="64"/>
      <c r="M97" s="65" t="s">
        <v>141</v>
      </c>
      <c r="N97">
        <f>E95+(H97*10^(-3))</f>
        <v>60.045999999999999</v>
      </c>
      <c r="O97" s="56" t="s">
        <v>0</v>
      </c>
    </row>
    <row r="98" spans="3:15" x14ac:dyDescent="0.25">
      <c r="C98" s="57"/>
      <c r="F98" s="1" t="s">
        <v>256</v>
      </c>
      <c r="G98" s="66" t="s">
        <v>141</v>
      </c>
      <c r="H98" s="62">
        <v>0</v>
      </c>
      <c r="I98" s="52" t="s">
        <v>264</v>
      </c>
      <c r="K98" s="64" t="s">
        <v>265</v>
      </c>
      <c r="L98" s="64"/>
      <c r="M98" s="65" t="s">
        <v>141</v>
      </c>
      <c r="N98">
        <f>E95+(H98*10^(-3))</f>
        <v>60</v>
      </c>
      <c r="O98" s="56" t="s">
        <v>0</v>
      </c>
    </row>
    <row r="99" spans="3:15" x14ac:dyDescent="0.25">
      <c r="C99" s="57"/>
      <c r="F99" s="67" t="s">
        <v>16</v>
      </c>
      <c r="G99" s="66" t="s">
        <v>141</v>
      </c>
      <c r="H99" s="62">
        <v>46</v>
      </c>
      <c r="I99" s="52" t="s">
        <v>264</v>
      </c>
      <c r="O99" s="56"/>
    </row>
    <row r="100" spans="3:15" ht="15.75" thickBot="1" x14ac:dyDescent="0.3">
      <c r="C100" s="57"/>
      <c r="O100" s="56"/>
    </row>
    <row r="101" spans="3:15" ht="15.75" thickBot="1" x14ac:dyDescent="0.3">
      <c r="C101" s="57" t="s">
        <v>253</v>
      </c>
      <c r="D101" s="25" t="s">
        <v>261</v>
      </c>
      <c r="F101" s="1" t="s">
        <v>279</v>
      </c>
      <c r="G101" s="65" t="s">
        <v>141</v>
      </c>
      <c r="H101" s="62">
        <v>-10</v>
      </c>
      <c r="I101" s="52" t="s">
        <v>264</v>
      </c>
      <c r="K101" s="64" t="s">
        <v>267</v>
      </c>
      <c r="L101" s="64"/>
      <c r="M101" s="65" t="s">
        <v>141</v>
      </c>
      <c r="N101">
        <f>E95+(H101*10^(-3))</f>
        <v>59.99</v>
      </c>
      <c r="O101" s="56" t="s">
        <v>0</v>
      </c>
    </row>
    <row r="102" spans="3:15" x14ac:dyDescent="0.25">
      <c r="C102" s="57"/>
      <c r="F102" s="1" t="s">
        <v>280</v>
      </c>
      <c r="G102" s="66" t="s">
        <v>141</v>
      </c>
      <c r="H102" s="62">
        <f>H101-H103</f>
        <v>-40</v>
      </c>
      <c r="I102" s="52" t="s">
        <v>264</v>
      </c>
      <c r="K102" s="64" t="s">
        <v>268</v>
      </c>
      <c r="L102" s="64"/>
      <c r="M102" s="65" t="s">
        <v>141</v>
      </c>
      <c r="N102">
        <f>E95+(H102*10^(-3))</f>
        <v>59.96</v>
      </c>
      <c r="O102" s="56" t="s">
        <v>0</v>
      </c>
    </row>
    <row r="103" spans="3:15" x14ac:dyDescent="0.25">
      <c r="C103" s="57"/>
      <c r="F103" s="1" t="s">
        <v>15</v>
      </c>
      <c r="G103" s="66" t="s">
        <v>141</v>
      </c>
      <c r="H103" s="63">
        <v>30</v>
      </c>
      <c r="I103" s="52" t="s">
        <v>264</v>
      </c>
      <c r="O103" s="56"/>
    </row>
    <row r="104" spans="3:15" x14ac:dyDescent="0.25">
      <c r="C104" s="57"/>
      <c r="O104" s="56"/>
    </row>
    <row r="105" spans="3:15" x14ac:dyDescent="0.25">
      <c r="C105" s="69" t="s">
        <v>289</v>
      </c>
      <c r="D105" s="70"/>
      <c r="E105" s="70"/>
      <c r="F105" s="70"/>
      <c r="G105" s="65" t="s">
        <v>141</v>
      </c>
      <c r="H105">
        <f>(N98-N101)*1000</f>
        <v>9.9999999999980105</v>
      </c>
      <c r="I105" s="52" t="s">
        <v>264</v>
      </c>
      <c r="O105" s="56"/>
    </row>
    <row r="106" spans="3:15" x14ac:dyDescent="0.25">
      <c r="C106" s="69" t="s">
        <v>290</v>
      </c>
      <c r="D106" s="70"/>
      <c r="E106" s="70"/>
      <c r="F106" s="70"/>
      <c r="G106" s="65" t="s">
        <v>141</v>
      </c>
      <c r="H106">
        <f>(N97-N102)*1000</f>
        <v>85.999999999998522</v>
      </c>
      <c r="I106" s="52" t="s">
        <v>264</v>
      </c>
      <c r="O106" s="56"/>
    </row>
    <row r="107" spans="3:15" x14ac:dyDescent="0.25">
      <c r="C107" s="69" t="s">
        <v>291</v>
      </c>
      <c r="D107" s="70"/>
      <c r="E107" s="70"/>
      <c r="F107" s="70"/>
      <c r="G107" s="65" t="s">
        <v>141</v>
      </c>
      <c r="H107">
        <f>H99+H103</f>
        <v>76</v>
      </c>
      <c r="I107" s="52" t="s">
        <v>264</v>
      </c>
      <c r="O107" s="56"/>
    </row>
    <row r="108" spans="3:15" x14ac:dyDescent="0.25">
      <c r="C108" s="57"/>
      <c r="O108" s="56"/>
    </row>
    <row r="109" spans="3:15" x14ac:dyDescent="0.25">
      <c r="C109" s="69" t="s">
        <v>269</v>
      </c>
      <c r="D109" s="70"/>
      <c r="E109" s="70"/>
      <c r="F109" s="1">
        <f>H106-H105</f>
        <v>76.000000000000512</v>
      </c>
      <c r="G109" s="52" t="s">
        <v>264</v>
      </c>
      <c r="O109" s="56"/>
    </row>
    <row r="110" spans="3:15" x14ac:dyDescent="0.25">
      <c r="C110" s="69" t="s">
        <v>283</v>
      </c>
      <c r="D110" s="70"/>
      <c r="E110" s="70"/>
      <c r="G110" s="52" t="s">
        <v>264</v>
      </c>
      <c r="O110" s="56"/>
    </row>
    <row r="111" spans="3:15" ht="15.75" thickBot="1" x14ac:dyDescent="0.3">
      <c r="C111" s="71" t="s">
        <v>284</v>
      </c>
      <c r="D111" s="72"/>
      <c r="E111" s="72"/>
      <c r="F111" s="58"/>
      <c r="G111" s="68" t="s">
        <v>264</v>
      </c>
      <c r="H111" s="58"/>
      <c r="I111" s="58"/>
      <c r="J111" s="58"/>
      <c r="K111" s="58"/>
      <c r="L111" s="58"/>
      <c r="M111" s="58"/>
      <c r="N111" s="58"/>
      <c r="O111" s="59"/>
    </row>
    <row r="115" spans="3:15" ht="15.75" thickBot="1" x14ac:dyDescent="0.3">
      <c r="C115" t="s">
        <v>285</v>
      </c>
    </row>
    <row r="116" spans="3:15" ht="15.75" thickBot="1" x14ac:dyDescent="0.3">
      <c r="C116" s="53" t="s">
        <v>258</v>
      </c>
      <c r="D116" s="74" t="s">
        <v>286</v>
      </c>
      <c r="E116" s="75"/>
      <c r="F116" s="54"/>
      <c r="G116" s="54"/>
      <c r="H116" s="54"/>
      <c r="I116" s="54"/>
      <c r="J116" s="54"/>
      <c r="K116" s="54"/>
      <c r="L116" s="54"/>
      <c r="M116" s="54"/>
      <c r="N116" s="54"/>
      <c r="O116" s="55"/>
    </row>
    <row r="117" spans="3:15" ht="15.75" thickBot="1" x14ac:dyDescent="0.3">
      <c r="C117" s="69" t="s">
        <v>254</v>
      </c>
      <c r="D117" s="73"/>
      <c r="E117" s="60">
        <v>18</v>
      </c>
      <c r="F117" s="52" t="s">
        <v>0</v>
      </c>
      <c r="O117" s="56"/>
    </row>
    <row r="118" spans="3:15" ht="15.75" thickBot="1" x14ac:dyDescent="0.3">
      <c r="C118" s="57"/>
      <c r="O118" s="56"/>
    </row>
    <row r="119" spans="3:15" ht="15.75" thickBot="1" x14ac:dyDescent="0.3">
      <c r="C119" s="57" t="s">
        <v>252</v>
      </c>
      <c r="D119" s="25" t="s">
        <v>287</v>
      </c>
      <c r="F119" s="1" t="s">
        <v>255</v>
      </c>
      <c r="G119" s="65" t="s">
        <v>141</v>
      </c>
      <c r="H119" s="62">
        <f>H121+H120</f>
        <v>18</v>
      </c>
      <c r="I119" s="52" t="s">
        <v>264</v>
      </c>
      <c r="K119" s="64" t="s">
        <v>266</v>
      </c>
      <c r="L119" s="64"/>
      <c r="M119" s="65" t="s">
        <v>141</v>
      </c>
      <c r="N119">
        <f>E117+(H119*10^(-3))</f>
        <v>18.018000000000001</v>
      </c>
      <c r="O119" s="56" t="s">
        <v>0</v>
      </c>
    </row>
    <row r="120" spans="3:15" x14ac:dyDescent="0.25">
      <c r="C120" s="57"/>
      <c r="F120" s="1" t="s">
        <v>256</v>
      </c>
      <c r="G120" s="66" t="s">
        <v>141</v>
      </c>
      <c r="H120" s="62">
        <v>0</v>
      </c>
      <c r="I120" s="52" t="s">
        <v>264</v>
      </c>
      <c r="K120" s="64" t="s">
        <v>265</v>
      </c>
      <c r="L120" s="64"/>
      <c r="M120" s="65" t="s">
        <v>141</v>
      </c>
      <c r="N120">
        <f>E117+(H120*10^(-3))</f>
        <v>18</v>
      </c>
      <c r="O120" s="56" t="s">
        <v>0</v>
      </c>
    </row>
    <row r="121" spans="3:15" x14ac:dyDescent="0.25">
      <c r="C121" s="57"/>
      <c r="F121" s="67" t="s">
        <v>15</v>
      </c>
      <c r="G121" s="66" t="s">
        <v>141</v>
      </c>
      <c r="H121" s="62">
        <v>18</v>
      </c>
      <c r="I121" s="52" t="s">
        <v>264</v>
      </c>
      <c r="O121" s="56"/>
    </row>
    <row r="122" spans="3:15" ht="15.75" thickBot="1" x14ac:dyDescent="0.3">
      <c r="C122" s="57"/>
      <c r="O122" s="56"/>
    </row>
    <row r="123" spans="3:15" ht="15.75" thickBot="1" x14ac:dyDescent="0.3">
      <c r="C123" s="57" t="s">
        <v>253</v>
      </c>
      <c r="D123" s="25" t="s">
        <v>288</v>
      </c>
      <c r="F123" s="1" t="s">
        <v>279</v>
      </c>
      <c r="G123" s="65" t="s">
        <v>141</v>
      </c>
      <c r="H123" s="62">
        <v>-10</v>
      </c>
      <c r="I123" s="52" t="s">
        <v>264</v>
      </c>
      <c r="K123" s="64" t="s">
        <v>267</v>
      </c>
      <c r="L123" s="64"/>
      <c r="M123" s="65" t="s">
        <v>141</v>
      </c>
      <c r="N123">
        <f>E117+(H123*10^(-3))</f>
        <v>17.989999999999998</v>
      </c>
      <c r="O123" s="56" t="s">
        <v>0</v>
      </c>
    </row>
    <row r="124" spans="3:15" x14ac:dyDescent="0.25">
      <c r="C124" s="57"/>
      <c r="F124" s="1" t="s">
        <v>280</v>
      </c>
      <c r="G124" s="66" t="s">
        <v>141</v>
      </c>
      <c r="H124" s="62">
        <f>H123-H125</f>
        <v>-28</v>
      </c>
      <c r="I124" s="52" t="s">
        <v>264</v>
      </c>
      <c r="K124" s="64" t="s">
        <v>268</v>
      </c>
      <c r="L124" s="64"/>
      <c r="M124" s="65" t="s">
        <v>141</v>
      </c>
      <c r="N124">
        <f>E117+(H124*10^(-3))</f>
        <v>17.972000000000001</v>
      </c>
      <c r="O124" s="56" t="s">
        <v>0</v>
      </c>
    </row>
    <row r="125" spans="3:15" x14ac:dyDescent="0.25">
      <c r="C125" s="57"/>
      <c r="F125" s="1" t="s">
        <v>14</v>
      </c>
      <c r="G125" s="66" t="s">
        <v>141</v>
      </c>
      <c r="H125" s="63">
        <v>18</v>
      </c>
      <c r="I125" s="52" t="s">
        <v>264</v>
      </c>
      <c r="O125" s="56"/>
    </row>
    <row r="126" spans="3:15" x14ac:dyDescent="0.25">
      <c r="C126" s="57"/>
      <c r="O126" s="56"/>
    </row>
    <row r="127" spans="3:15" x14ac:dyDescent="0.25">
      <c r="C127" s="69" t="s">
        <v>289</v>
      </c>
      <c r="D127" s="70"/>
      <c r="E127" s="70"/>
      <c r="F127" s="70"/>
      <c r="G127" s="65" t="s">
        <v>141</v>
      </c>
      <c r="H127">
        <f>(N120-N123)*1000</f>
        <v>10.000000000001563</v>
      </c>
      <c r="I127" s="52" t="s">
        <v>264</v>
      </c>
      <c r="O127" s="56"/>
    </row>
    <row r="128" spans="3:15" x14ac:dyDescent="0.25">
      <c r="C128" s="69" t="s">
        <v>290</v>
      </c>
      <c r="D128" s="70"/>
      <c r="E128" s="70"/>
      <c r="F128" s="70"/>
      <c r="G128" s="65" t="s">
        <v>141</v>
      </c>
      <c r="H128">
        <f>(N119-N124)*1000</f>
        <v>45.999999999999375</v>
      </c>
      <c r="I128" s="52" t="s">
        <v>264</v>
      </c>
      <c r="O128" s="56"/>
    </row>
    <row r="129" spans="3:15" x14ac:dyDescent="0.25">
      <c r="C129" s="69" t="s">
        <v>291</v>
      </c>
      <c r="D129" s="70"/>
      <c r="E129" s="70"/>
      <c r="F129" s="70"/>
      <c r="G129" s="65" t="s">
        <v>141</v>
      </c>
      <c r="H129">
        <f>H121+H125</f>
        <v>36</v>
      </c>
      <c r="I129" s="52" t="s">
        <v>264</v>
      </c>
      <c r="O129" s="56"/>
    </row>
    <row r="130" spans="3:15" x14ac:dyDescent="0.25">
      <c r="C130" s="57"/>
      <c r="O130" s="56"/>
    </row>
    <row r="131" spans="3:15" x14ac:dyDescent="0.25">
      <c r="C131" s="69" t="s">
        <v>269</v>
      </c>
      <c r="D131" s="70"/>
      <c r="E131" s="70"/>
      <c r="F131" s="1">
        <f>H128-H127</f>
        <v>35.999999999997812</v>
      </c>
      <c r="G131" s="52" t="s">
        <v>264</v>
      </c>
      <c r="O131" s="56"/>
    </row>
    <row r="132" spans="3:15" x14ac:dyDescent="0.25">
      <c r="C132" s="69" t="s">
        <v>283</v>
      </c>
      <c r="D132" s="70"/>
      <c r="E132" s="70"/>
      <c r="G132" s="52" t="s">
        <v>264</v>
      </c>
      <c r="O132" s="56"/>
    </row>
    <row r="133" spans="3:15" ht="15.75" thickBot="1" x14ac:dyDescent="0.3">
      <c r="C133" s="71" t="s">
        <v>284</v>
      </c>
      <c r="D133" s="72"/>
      <c r="E133" s="72"/>
      <c r="F133" s="58"/>
      <c r="G133" s="68" t="s">
        <v>264</v>
      </c>
      <c r="H133" s="58"/>
      <c r="I133" s="58"/>
      <c r="J133" s="58"/>
      <c r="K133" s="58"/>
      <c r="L133" s="58"/>
      <c r="M133" s="58"/>
      <c r="N133" s="58"/>
      <c r="O133" s="59"/>
    </row>
  </sheetData>
  <mergeCells count="52">
    <mergeCell ref="C2:F3"/>
    <mergeCell ref="J2:K2"/>
    <mergeCell ref="C29:D29"/>
    <mergeCell ref="D94:E94"/>
    <mergeCell ref="C95:D95"/>
    <mergeCell ref="C66:E66"/>
    <mergeCell ref="C67:E67"/>
    <mergeCell ref="C68:E68"/>
    <mergeCell ref="C74:D74"/>
    <mergeCell ref="C6:E6"/>
    <mergeCell ref="D8:E8"/>
    <mergeCell ref="C9:D9"/>
    <mergeCell ref="D51:E51"/>
    <mergeCell ref="C52:D52"/>
    <mergeCell ref="D73:E73"/>
    <mergeCell ref="D30:E30"/>
    <mergeCell ref="C131:E131"/>
    <mergeCell ref="C132:E132"/>
    <mergeCell ref="C133:E133"/>
    <mergeCell ref="C19:F19"/>
    <mergeCell ref="C20:F20"/>
    <mergeCell ref="C21:F21"/>
    <mergeCell ref="C23:E23"/>
    <mergeCell ref="C24:E24"/>
    <mergeCell ref="C25:E25"/>
    <mergeCell ref="C109:E109"/>
    <mergeCell ref="C110:E110"/>
    <mergeCell ref="C111:E111"/>
    <mergeCell ref="D116:E116"/>
    <mergeCell ref="C117:D117"/>
    <mergeCell ref="C90:E90"/>
    <mergeCell ref="C62:F62"/>
    <mergeCell ref="C63:F63"/>
    <mergeCell ref="C64:F64"/>
    <mergeCell ref="C31:D31"/>
    <mergeCell ref="C41:F41"/>
    <mergeCell ref="C42:F42"/>
    <mergeCell ref="C43:F43"/>
    <mergeCell ref="C45:E45"/>
    <mergeCell ref="C46:E46"/>
    <mergeCell ref="C47:E47"/>
    <mergeCell ref="C84:F84"/>
    <mergeCell ref="C85:F85"/>
    <mergeCell ref="C86:F86"/>
    <mergeCell ref="C88:E88"/>
    <mergeCell ref="C89:E89"/>
    <mergeCell ref="C127:F127"/>
    <mergeCell ref="C128:F128"/>
    <mergeCell ref="C129:F129"/>
    <mergeCell ref="C105:F105"/>
    <mergeCell ref="C106:F106"/>
    <mergeCell ref="C107:F107"/>
  </mergeCells>
  <pageMargins left="0.7" right="0.7" top="0.75" bottom="0.75" header="0.3" footer="0.3"/>
  <customProperties>
    <customPr name="DynardoMOPSolver" r:id="rId1"/>
  </customPropertie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B9DAB-1B09-4F33-95C5-92499B7FF7DC}">
  <dimension ref="A1:V24"/>
  <sheetViews>
    <sheetView workbookViewId="0">
      <selection activeCell="A7" sqref="A7:XFD7"/>
    </sheetView>
  </sheetViews>
  <sheetFormatPr defaultRowHeight="15" x14ac:dyDescent="0.25"/>
  <cols>
    <col min="1" max="1" width="23.5703125" customWidth="1"/>
    <col min="2" max="2" width="17.85546875" customWidth="1"/>
  </cols>
  <sheetData>
    <row r="1" spans="1:22" ht="24" x14ac:dyDescent="0.4">
      <c r="A1" s="87" t="s">
        <v>2</v>
      </c>
      <c r="B1" s="88"/>
      <c r="C1" s="92" t="s">
        <v>6</v>
      </c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4"/>
    </row>
    <row r="2" spans="1:22" ht="37.5" x14ac:dyDescent="0.25">
      <c r="A2" s="3" t="s">
        <v>1</v>
      </c>
      <c r="B2" s="4" t="s">
        <v>3</v>
      </c>
      <c r="C2" s="2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3" t="s">
        <v>16</v>
      </c>
      <c r="M2" s="3" t="s">
        <v>17</v>
      </c>
      <c r="N2" s="3" t="s">
        <v>18</v>
      </c>
      <c r="O2" s="3" t="s">
        <v>19</v>
      </c>
      <c r="P2" s="3" t="s">
        <v>20</v>
      </c>
      <c r="Q2" s="3" t="s">
        <v>21</v>
      </c>
      <c r="R2" s="3" t="s">
        <v>22</v>
      </c>
      <c r="S2" s="3" t="s">
        <v>23</v>
      </c>
      <c r="T2" s="3" t="s">
        <v>24</v>
      </c>
      <c r="U2" s="3" t="s">
        <v>25</v>
      </c>
      <c r="V2" s="24" t="s">
        <v>26</v>
      </c>
    </row>
    <row r="3" spans="1:22" ht="21.75" thickBot="1" x14ac:dyDescent="0.4">
      <c r="A3" s="7"/>
      <c r="B3" s="8"/>
      <c r="C3" s="89" t="s">
        <v>119</v>
      </c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 t="s">
        <v>118</v>
      </c>
      <c r="Q3" s="90"/>
      <c r="R3" s="90"/>
      <c r="S3" s="90"/>
      <c r="T3" s="90"/>
      <c r="U3" s="90"/>
      <c r="V3" s="91"/>
    </row>
    <row r="4" spans="1:22" x14ac:dyDescent="0.25">
      <c r="A4" s="9" t="s">
        <v>5</v>
      </c>
      <c r="B4" s="10">
        <v>3</v>
      </c>
      <c r="C4" s="12" t="s">
        <v>27</v>
      </c>
      <c r="D4" s="13" t="s">
        <v>28</v>
      </c>
      <c r="E4" s="13" t="s">
        <v>29</v>
      </c>
      <c r="F4" s="13" t="s">
        <v>30</v>
      </c>
      <c r="G4" s="13">
        <v>2</v>
      </c>
      <c r="H4" s="13">
        <v>3</v>
      </c>
      <c r="I4" s="13">
        <v>4</v>
      </c>
      <c r="J4" s="13">
        <v>6</v>
      </c>
      <c r="K4" s="13">
        <v>10</v>
      </c>
      <c r="L4" s="13">
        <v>14</v>
      </c>
      <c r="M4" s="13">
        <v>25</v>
      </c>
      <c r="N4" s="13">
        <v>40</v>
      </c>
      <c r="O4" s="13">
        <v>60</v>
      </c>
      <c r="P4" s="13" t="s">
        <v>31</v>
      </c>
      <c r="Q4" s="13" t="s">
        <v>32</v>
      </c>
      <c r="R4" s="13" t="s">
        <v>33</v>
      </c>
      <c r="S4" s="13" t="s">
        <v>34</v>
      </c>
      <c r="T4" s="13" t="s">
        <v>35</v>
      </c>
      <c r="U4" s="13">
        <v>1</v>
      </c>
      <c r="V4" s="14" t="s">
        <v>36</v>
      </c>
    </row>
    <row r="5" spans="1:22" x14ac:dyDescent="0.25">
      <c r="A5" s="11">
        <v>3</v>
      </c>
      <c r="B5" s="10">
        <v>6</v>
      </c>
      <c r="C5" s="15" t="s">
        <v>34</v>
      </c>
      <c r="D5" s="16" t="s">
        <v>35</v>
      </c>
      <c r="E5" s="16">
        <v>1</v>
      </c>
      <c r="F5" s="16" t="s">
        <v>37</v>
      </c>
      <c r="G5" s="16" t="s">
        <v>38</v>
      </c>
      <c r="H5" s="16">
        <v>4</v>
      </c>
      <c r="I5" s="16">
        <v>5</v>
      </c>
      <c r="J5" s="16">
        <v>8</v>
      </c>
      <c r="K5" s="16">
        <v>12</v>
      </c>
      <c r="L5" s="16">
        <v>18</v>
      </c>
      <c r="M5" s="16">
        <v>30</v>
      </c>
      <c r="N5" s="16">
        <v>48</v>
      </c>
      <c r="O5" s="16">
        <v>75</v>
      </c>
      <c r="P5" s="16" t="s">
        <v>39</v>
      </c>
      <c r="Q5" s="16" t="s">
        <v>40</v>
      </c>
      <c r="R5" s="16" t="s">
        <v>27</v>
      </c>
      <c r="S5" s="16" t="s">
        <v>41</v>
      </c>
      <c r="T5" s="16" t="s">
        <v>42</v>
      </c>
      <c r="U5" s="16" t="s">
        <v>30</v>
      </c>
      <c r="V5" s="17" t="s">
        <v>43</v>
      </c>
    </row>
    <row r="6" spans="1:22" x14ac:dyDescent="0.25">
      <c r="A6" s="11">
        <v>6</v>
      </c>
      <c r="B6" s="10">
        <v>10</v>
      </c>
      <c r="C6" s="15" t="s">
        <v>34</v>
      </c>
      <c r="D6" s="16" t="s">
        <v>35</v>
      </c>
      <c r="E6" s="16">
        <v>1</v>
      </c>
      <c r="F6" s="16" t="s">
        <v>37</v>
      </c>
      <c r="G6" s="16" t="s">
        <v>38</v>
      </c>
      <c r="H6" s="16">
        <v>4</v>
      </c>
      <c r="I6" s="16">
        <v>6</v>
      </c>
      <c r="J6" s="16">
        <v>9</v>
      </c>
      <c r="K6" s="61">
        <v>15</v>
      </c>
      <c r="L6" s="61">
        <v>22</v>
      </c>
      <c r="M6" s="16">
        <v>36</v>
      </c>
      <c r="N6" s="16">
        <v>58</v>
      </c>
      <c r="O6" s="16">
        <v>90</v>
      </c>
      <c r="P6" s="16" t="s">
        <v>44</v>
      </c>
      <c r="Q6" s="16" t="s">
        <v>45</v>
      </c>
      <c r="R6" s="16" t="s">
        <v>46</v>
      </c>
      <c r="S6" s="16" t="s">
        <v>47</v>
      </c>
      <c r="T6" s="16" t="s">
        <v>48</v>
      </c>
      <c r="U6" s="16" t="s">
        <v>37</v>
      </c>
      <c r="V6" s="17" t="s">
        <v>49</v>
      </c>
    </row>
    <row r="7" spans="1:22" x14ac:dyDescent="0.25">
      <c r="A7" s="11">
        <v>10</v>
      </c>
      <c r="B7" s="10">
        <v>18</v>
      </c>
      <c r="C7" s="15" t="s">
        <v>28</v>
      </c>
      <c r="D7" s="16" t="s">
        <v>29</v>
      </c>
      <c r="E7" s="16" t="s">
        <v>30</v>
      </c>
      <c r="F7" s="16">
        <v>2</v>
      </c>
      <c r="G7" s="16">
        <v>3</v>
      </c>
      <c r="H7" s="16">
        <v>5</v>
      </c>
      <c r="I7" s="16">
        <v>8</v>
      </c>
      <c r="J7" s="16">
        <v>11</v>
      </c>
      <c r="K7" s="61">
        <v>18</v>
      </c>
      <c r="L7" s="61">
        <v>27</v>
      </c>
      <c r="M7" s="16">
        <v>43</v>
      </c>
      <c r="N7" s="16">
        <v>70</v>
      </c>
      <c r="O7" s="16">
        <v>110</v>
      </c>
      <c r="P7" s="16" t="s">
        <v>40</v>
      </c>
      <c r="Q7" s="16" t="s">
        <v>50</v>
      </c>
      <c r="R7" s="16" t="s">
        <v>51</v>
      </c>
      <c r="S7" s="16" t="s">
        <v>52</v>
      </c>
      <c r="T7" s="16" t="s">
        <v>53</v>
      </c>
      <c r="U7" s="16" t="s">
        <v>43</v>
      </c>
      <c r="V7" s="17" t="s">
        <v>54</v>
      </c>
    </row>
    <row r="8" spans="1:22" x14ac:dyDescent="0.25">
      <c r="A8" s="11">
        <v>18</v>
      </c>
      <c r="B8" s="10">
        <v>30</v>
      </c>
      <c r="C8" s="15" t="s">
        <v>35</v>
      </c>
      <c r="D8" s="16">
        <v>1</v>
      </c>
      <c r="E8" s="16" t="s">
        <v>37</v>
      </c>
      <c r="F8" s="16" t="s">
        <v>38</v>
      </c>
      <c r="G8" s="16">
        <v>4</v>
      </c>
      <c r="H8" s="16">
        <v>6</v>
      </c>
      <c r="I8" s="16">
        <v>9</v>
      </c>
      <c r="J8" s="16">
        <v>13</v>
      </c>
      <c r="K8" s="16">
        <v>21</v>
      </c>
      <c r="L8" s="16">
        <v>33</v>
      </c>
      <c r="M8" s="16">
        <v>52</v>
      </c>
      <c r="N8" s="16">
        <v>84</v>
      </c>
      <c r="O8" s="16">
        <v>130</v>
      </c>
      <c r="P8" s="16" t="s">
        <v>55</v>
      </c>
      <c r="Q8" s="16" t="s">
        <v>56</v>
      </c>
      <c r="R8" s="16" t="s">
        <v>57</v>
      </c>
      <c r="S8" s="16" t="s">
        <v>58</v>
      </c>
      <c r="T8" s="16" t="s">
        <v>59</v>
      </c>
      <c r="U8" s="16" t="s">
        <v>60</v>
      </c>
      <c r="V8" s="17" t="s">
        <v>61</v>
      </c>
    </row>
    <row r="9" spans="1:22" x14ac:dyDescent="0.25">
      <c r="A9" s="11">
        <v>30</v>
      </c>
      <c r="B9" s="10">
        <v>50</v>
      </c>
      <c r="C9" s="15" t="s">
        <v>35</v>
      </c>
      <c r="D9" s="16">
        <v>1</v>
      </c>
      <c r="E9" s="16" t="s">
        <v>37</v>
      </c>
      <c r="F9" s="16" t="s">
        <v>38</v>
      </c>
      <c r="G9" s="16">
        <v>4</v>
      </c>
      <c r="H9" s="16">
        <v>7</v>
      </c>
      <c r="I9" s="16">
        <v>11</v>
      </c>
      <c r="J9" s="16">
        <v>16</v>
      </c>
      <c r="K9" s="16">
        <v>25</v>
      </c>
      <c r="L9" s="16">
        <v>39</v>
      </c>
      <c r="M9" s="16">
        <v>62</v>
      </c>
      <c r="N9" s="16">
        <v>100</v>
      </c>
      <c r="O9" s="16">
        <v>160</v>
      </c>
      <c r="P9" s="16" t="s">
        <v>33</v>
      </c>
      <c r="Q9" s="16" t="s">
        <v>62</v>
      </c>
      <c r="R9" s="16" t="s">
        <v>63</v>
      </c>
      <c r="S9" s="16">
        <v>1</v>
      </c>
      <c r="T9" s="16" t="s">
        <v>64</v>
      </c>
      <c r="U9" s="16" t="s">
        <v>38</v>
      </c>
      <c r="V9" s="17" t="s">
        <v>65</v>
      </c>
    </row>
    <row r="10" spans="1:22" x14ac:dyDescent="0.25">
      <c r="A10" s="11">
        <v>50</v>
      </c>
      <c r="B10" s="10">
        <v>80</v>
      </c>
      <c r="C10" s="15" t="s">
        <v>29</v>
      </c>
      <c r="D10" s="16" t="s">
        <v>30</v>
      </c>
      <c r="E10" s="16">
        <v>2</v>
      </c>
      <c r="F10" s="16">
        <v>3</v>
      </c>
      <c r="G10" s="16">
        <v>5</v>
      </c>
      <c r="H10" s="16">
        <v>8</v>
      </c>
      <c r="I10" s="16">
        <v>13</v>
      </c>
      <c r="J10" s="16">
        <v>19</v>
      </c>
      <c r="K10" s="16">
        <v>30</v>
      </c>
      <c r="L10" s="16">
        <v>46</v>
      </c>
      <c r="M10" s="16">
        <v>74</v>
      </c>
      <c r="N10" s="16">
        <v>120</v>
      </c>
      <c r="O10" s="16">
        <v>190</v>
      </c>
      <c r="P10" s="16" t="s">
        <v>27</v>
      </c>
      <c r="Q10" s="16" t="s">
        <v>66</v>
      </c>
      <c r="R10" s="16" t="s">
        <v>67</v>
      </c>
      <c r="S10" s="16" t="s">
        <v>30</v>
      </c>
      <c r="T10" s="16" t="s">
        <v>68</v>
      </c>
      <c r="U10" s="16">
        <v>3</v>
      </c>
      <c r="V10" s="17" t="s">
        <v>69</v>
      </c>
    </row>
    <row r="11" spans="1:22" x14ac:dyDescent="0.25">
      <c r="A11" s="11">
        <v>80</v>
      </c>
      <c r="B11" s="10">
        <v>120</v>
      </c>
      <c r="C11" s="15">
        <v>1</v>
      </c>
      <c r="D11" s="16" t="s">
        <v>37</v>
      </c>
      <c r="E11" s="16" t="s">
        <v>38</v>
      </c>
      <c r="F11" s="16">
        <v>4</v>
      </c>
      <c r="G11" s="16">
        <v>6</v>
      </c>
      <c r="H11" s="16">
        <v>10</v>
      </c>
      <c r="I11" s="16">
        <v>15</v>
      </c>
      <c r="J11" s="16">
        <v>22</v>
      </c>
      <c r="K11" s="16">
        <v>35</v>
      </c>
      <c r="L11" s="16">
        <v>54</v>
      </c>
      <c r="M11" s="16">
        <v>87</v>
      </c>
      <c r="N11" s="16">
        <v>140</v>
      </c>
      <c r="O11" s="16">
        <v>220</v>
      </c>
      <c r="P11" s="16" t="s">
        <v>70</v>
      </c>
      <c r="Q11" s="16" t="s">
        <v>71</v>
      </c>
      <c r="R11" s="16" t="s">
        <v>72</v>
      </c>
      <c r="S11" s="16" t="s">
        <v>36</v>
      </c>
      <c r="T11" s="16" t="s">
        <v>49</v>
      </c>
      <c r="U11" s="16" t="s">
        <v>73</v>
      </c>
      <c r="V11" s="17" t="s">
        <v>74</v>
      </c>
    </row>
    <row r="12" spans="1:22" x14ac:dyDescent="0.25">
      <c r="A12" s="11">
        <v>120</v>
      </c>
      <c r="B12" s="10">
        <v>180</v>
      </c>
      <c r="C12" s="15" t="s">
        <v>30</v>
      </c>
      <c r="D12" s="16">
        <v>2</v>
      </c>
      <c r="E12" s="16" t="s">
        <v>73</v>
      </c>
      <c r="F12" s="16">
        <v>5</v>
      </c>
      <c r="G12" s="16">
        <v>8</v>
      </c>
      <c r="H12" s="16">
        <v>12</v>
      </c>
      <c r="I12" s="16">
        <v>18</v>
      </c>
      <c r="J12" s="16">
        <v>25</v>
      </c>
      <c r="K12" s="16">
        <v>40</v>
      </c>
      <c r="L12" s="16">
        <v>63</v>
      </c>
      <c r="M12" s="16">
        <v>100</v>
      </c>
      <c r="N12" s="16">
        <v>160</v>
      </c>
      <c r="O12" s="16">
        <v>250</v>
      </c>
      <c r="P12" s="16" t="s">
        <v>34</v>
      </c>
      <c r="Q12" s="16" t="s">
        <v>75</v>
      </c>
      <c r="R12" s="16">
        <v>1</v>
      </c>
      <c r="S12" s="16" t="s">
        <v>64</v>
      </c>
      <c r="T12" s="16" t="s">
        <v>38</v>
      </c>
      <c r="U12" s="16">
        <v>4</v>
      </c>
      <c r="V12" s="17" t="s">
        <v>76</v>
      </c>
    </row>
    <row r="13" spans="1:22" x14ac:dyDescent="0.25">
      <c r="A13" s="11">
        <v>180</v>
      </c>
      <c r="B13" s="10">
        <v>250</v>
      </c>
      <c r="C13" s="15">
        <v>2</v>
      </c>
      <c r="D13" s="16">
        <v>3</v>
      </c>
      <c r="E13" s="16" t="s">
        <v>77</v>
      </c>
      <c r="F13" s="16">
        <v>7</v>
      </c>
      <c r="G13" s="16">
        <v>10</v>
      </c>
      <c r="H13" s="16">
        <v>14</v>
      </c>
      <c r="I13" s="16">
        <v>20</v>
      </c>
      <c r="J13" s="16">
        <v>29</v>
      </c>
      <c r="K13" s="16">
        <v>46</v>
      </c>
      <c r="L13" s="16">
        <v>72</v>
      </c>
      <c r="M13" s="16">
        <v>115</v>
      </c>
      <c r="N13" s="16">
        <v>185</v>
      </c>
      <c r="O13" s="16">
        <v>290</v>
      </c>
      <c r="P13" s="16" t="s">
        <v>66</v>
      </c>
      <c r="Q13" s="16" t="s">
        <v>78</v>
      </c>
      <c r="R13" s="16" t="s">
        <v>79</v>
      </c>
      <c r="S13" s="16" t="s">
        <v>80</v>
      </c>
      <c r="T13" s="16" t="s">
        <v>81</v>
      </c>
      <c r="U13" s="16" t="s">
        <v>69</v>
      </c>
      <c r="V13" s="17" t="s">
        <v>82</v>
      </c>
    </row>
    <row r="14" spans="1:22" x14ac:dyDescent="0.25">
      <c r="A14" s="11">
        <v>250</v>
      </c>
      <c r="B14" s="10">
        <v>315</v>
      </c>
      <c r="C14" s="15" t="s">
        <v>38</v>
      </c>
      <c r="D14" s="16">
        <v>4</v>
      </c>
      <c r="E14" s="16">
        <v>6</v>
      </c>
      <c r="F14" s="16">
        <v>8</v>
      </c>
      <c r="G14" s="16">
        <v>12</v>
      </c>
      <c r="H14" s="16">
        <v>16</v>
      </c>
      <c r="I14" s="16">
        <v>23</v>
      </c>
      <c r="J14" s="16">
        <v>32</v>
      </c>
      <c r="K14" s="16">
        <v>52</v>
      </c>
      <c r="L14" s="16">
        <v>81</v>
      </c>
      <c r="M14" s="16">
        <v>130</v>
      </c>
      <c r="N14" s="16">
        <v>210</v>
      </c>
      <c r="O14" s="16">
        <v>320</v>
      </c>
      <c r="P14" s="16" t="s">
        <v>57</v>
      </c>
      <c r="Q14" s="16" t="s">
        <v>83</v>
      </c>
      <c r="R14" s="16" t="s">
        <v>59</v>
      </c>
      <c r="S14" s="16" t="s">
        <v>60</v>
      </c>
      <c r="T14" s="16" t="s">
        <v>84</v>
      </c>
      <c r="U14" s="16" t="s">
        <v>85</v>
      </c>
      <c r="V14" s="17" t="s">
        <v>86</v>
      </c>
    </row>
    <row r="15" spans="1:22" x14ac:dyDescent="0.25">
      <c r="A15" s="11">
        <v>315</v>
      </c>
      <c r="B15" s="10">
        <v>400</v>
      </c>
      <c r="C15" s="15">
        <v>3</v>
      </c>
      <c r="D15" s="16">
        <v>5</v>
      </c>
      <c r="E15" s="16">
        <v>7</v>
      </c>
      <c r="F15" s="16">
        <v>9</v>
      </c>
      <c r="G15" s="16">
        <v>13</v>
      </c>
      <c r="H15" s="16">
        <v>18</v>
      </c>
      <c r="I15" s="16">
        <v>25</v>
      </c>
      <c r="J15" s="16">
        <v>36</v>
      </c>
      <c r="K15" s="16">
        <v>57</v>
      </c>
      <c r="L15" s="16">
        <v>89</v>
      </c>
      <c r="M15" s="16">
        <v>140</v>
      </c>
      <c r="N15" s="16">
        <v>230</v>
      </c>
      <c r="O15" s="16">
        <v>360</v>
      </c>
      <c r="P15" s="16" t="s">
        <v>87</v>
      </c>
      <c r="Q15" s="16" t="s">
        <v>88</v>
      </c>
      <c r="R15" s="16" t="s">
        <v>36</v>
      </c>
      <c r="S15" s="16" t="s">
        <v>89</v>
      </c>
      <c r="T15" s="16" t="s">
        <v>90</v>
      </c>
      <c r="U15" s="16" t="s">
        <v>91</v>
      </c>
      <c r="V15" s="17" t="s">
        <v>92</v>
      </c>
    </row>
    <row r="16" spans="1:22" x14ac:dyDescent="0.25">
      <c r="A16" s="11">
        <v>400</v>
      </c>
      <c r="B16" s="10">
        <v>500</v>
      </c>
      <c r="C16" s="15">
        <v>4</v>
      </c>
      <c r="D16" s="16">
        <v>6</v>
      </c>
      <c r="E16" s="16">
        <v>8</v>
      </c>
      <c r="F16" s="16">
        <v>10</v>
      </c>
      <c r="G16" s="16">
        <v>15</v>
      </c>
      <c r="H16" s="16">
        <v>20</v>
      </c>
      <c r="I16" s="16">
        <v>27</v>
      </c>
      <c r="J16" s="16">
        <v>40</v>
      </c>
      <c r="K16" s="16">
        <v>63</v>
      </c>
      <c r="L16" s="16">
        <v>97</v>
      </c>
      <c r="M16" s="16">
        <v>155</v>
      </c>
      <c r="N16" s="16">
        <v>250</v>
      </c>
      <c r="O16" s="16">
        <v>400</v>
      </c>
      <c r="P16" s="16" t="s">
        <v>75</v>
      </c>
      <c r="Q16" s="16" t="s">
        <v>93</v>
      </c>
      <c r="R16" s="16" t="s">
        <v>94</v>
      </c>
      <c r="S16" s="16" t="s">
        <v>38</v>
      </c>
      <c r="T16" s="16">
        <v>4</v>
      </c>
      <c r="U16" s="16" t="s">
        <v>76</v>
      </c>
      <c r="V16" s="17" t="s">
        <v>95</v>
      </c>
    </row>
    <row r="17" spans="1:22" x14ac:dyDescent="0.25">
      <c r="A17" s="11">
        <v>500</v>
      </c>
      <c r="B17" s="10">
        <v>630</v>
      </c>
      <c r="C17" s="15"/>
      <c r="D17" s="18"/>
      <c r="E17" s="16">
        <v>9</v>
      </c>
      <c r="F17" s="16">
        <v>11</v>
      </c>
      <c r="G17" s="16">
        <v>16</v>
      </c>
      <c r="H17" s="16">
        <v>22</v>
      </c>
      <c r="I17" s="16">
        <v>32</v>
      </c>
      <c r="J17" s="16">
        <v>44</v>
      </c>
      <c r="K17" s="16">
        <v>70</v>
      </c>
      <c r="L17" s="16">
        <v>110</v>
      </c>
      <c r="M17" s="16">
        <v>175</v>
      </c>
      <c r="N17" s="16">
        <v>280</v>
      </c>
      <c r="O17" s="16">
        <v>440</v>
      </c>
      <c r="P17" s="16" t="s">
        <v>52</v>
      </c>
      <c r="Q17" s="16" t="s">
        <v>53</v>
      </c>
      <c r="R17" s="16" t="s">
        <v>96</v>
      </c>
      <c r="S17" s="16" t="s">
        <v>97</v>
      </c>
      <c r="T17" s="16" t="s">
        <v>98</v>
      </c>
      <c r="U17" s="16">
        <v>7</v>
      </c>
      <c r="V17" s="17">
        <v>11</v>
      </c>
    </row>
    <row r="18" spans="1:22" x14ac:dyDescent="0.25">
      <c r="A18" s="11">
        <v>630</v>
      </c>
      <c r="B18" s="10">
        <v>800</v>
      </c>
      <c r="C18" s="15"/>
      <c r="D18" s="18"/>
      <c r="E18" s="16">
        <v>10</v>
      </c>
      <c r="F18" s="16">
        <v>13</v>
      </c>
      <c r="G18" s="16">
        <v>18</v>
      </c>
      <c r="H18" s="16">
        <v>25</v>
      </c>
      <c r="I18" s="16">
        <v>36</v>
      </c>
      <c r="J18" s="16">
        <v>50</v>
      </c>
      <c r="K18" s="16">
        <v>80</v>
      </c>
      <c r="L18" s="16">
        <v>125</v>
      </c>
      <c r="M18" s="16">
        <v>200</v>
      </c>
      <c r="N18" s="16">
        <v>320</v>
      </c>
      <c r="O18" s="16">
        <v>500</v>
      </c>
      <c r="P18" s="16" t="s">
        <v>29</v>
      </c>
      <c r="Q18" s="16" t="s">
        <v>99</v>
      </c>
      <c r="R18" s="16">
        <v>2</v>
      </c>
      <c r="S18" s="16" t="s">
        <v>84</v>
      </c>
      <c r="T18" s="16">
        <v>5</v>
      </c>
      <c r="U18" s="16">
        <v>8</v>
      </c>
      <c r="V18" s="17" t="s">
        <v>100</v>
      </c>
    </row>
    <row r="19" spans="1:22" x14ac:dyDescent="0.25">
      <c r="A19" s="11">
        <v>800</v>
      </c>
      <c r="B19" s="10">
        <v>1000</v>
      </c>
      <c r="C19" s="15"/>
      <c r="D19" s="18"/>
      <c r="E19" s="16">
        <v>11</v>
      </c>
      <c r="F19" s="16">
        <v>15</v>
      </c>
      <c r="G19" s="16">
        <v>21</v>
      </c>
      <c r="H19" s="16">
        <v>28</v>
      </c>
      <c r="I19" s="16">
        <v>40</v>
      </c>
      <c r="J19" s="16">
        <v>56</v>
      </c>
      <c r="K19" s="16">
        <v>90</v>
      </c>
      <c r="L19" s="16">
        <v>140</v>
      </c>
      <c r="M19" s="16">
        <v>230</v>
      </c>
      <c r="N19" s="16">
        <v>360</v>
      </c>
      <c r="O19" s="16">
        <v>560</v>
      </c>
      <c r="P19" s="16" t="s">
        <v>48</v>
      </c>
      <c r="Q19" s="16" t="s">
        <v>36</v>
      </c>
      <c r="R19" s="16" t="s">
        <v>89</v>
      </c>
      <c r="S19" s="16" t="s">
        <v>90</v>
      </c>
      <c r="T19" s="16" t="s">
        <v>101</v>
      </c>
      <c r="U19" s="16">
        <v>9</v>
      </c>
      <c r="V19" s="17">
        <v>14</v>
      </c>
    </row>
    <row r="20" spans="1:22" x14ac:dyDescent="0.25">
      <c r="A20" s="11">
        <v>1000</v>
      </c>
      <c r="B20" s="10">
        <v>1250</v>
      </c>
      <c r="C20" s="15"/>
      <c r="D20" s="18"/>
      <c r="E20" s="16">
        <v>13</v>
      </c>
      <c r="F20" s="16">
        <v>18</v>
      </c>
      <c r="G20" s="16">
        <v>24</v>
      </c>
      <c r="H20" s="16">
        <v>33</v>
      </c>
      <c r="I20" s="16">
        <v>47</v>
      </c>
      <c r="J20" s="16">
        <v>66</v>
      </c>
      <c r="K20" s="16">
        <v>105</v>
      </c>
      <c r="L20" s="16">
        <v>165</v>
      </c>
      <c r="M20" s="16">
        <v>260</v>
      </c>
      <c r="N20" s="16">
        <v>420</v>
      </c>
      <c r="O20" s="16">
        <v>660</v>
      </c>
      <c r="P20" s="16" t="s">
        <v>102</v>
      </c>
      <c r="Q20" s="16" t="s">
        <v>103</v>
      </c>
      <c r="R20" s="16" t="s">
        <v>104</v>
      </c>
      <c r="S20" s="16" t="s">
        <v>105</v>
      </c>
      <c r="T20" s="16" t="s">
        <v>106</v>
      </c>
      <c r="U20" s="16" t="s">
        <v>107</v>
      </c>
      <c r="V20" s="17" t="s">
        <v>108</v>
      </c>
    </row>
    <row r="21" spans="1:22" x14ac:dyDescent="0.25">
      <c r="A21" s="11">
        <v>1250</v>
      </c>
      <c r="B21" s="10">
        <v>1600</v>
      </c>
      <c r="C21" s="15"/>
      <c r="D21" s="18"/>
      <c r="E21" s="16">
        <v>15</v>
      </c>
      <c r="F21" s="16">
        <v>21</v>
      </c>
      <c r="G21" s="16">
        <v>29</v>
      </c>
      <c r="H21" s="16">
        <v>39</v>
      </c>
      <c r="I21" s="16">
        <v>55</v>
      </c>
      <c r="J21" s="16">
        <v>78</v>
      </c>
      <c r="K21" s="16">
        <v>125</v>
      </c>
      <c r="L21" s="16">
        <v>195</v>
      </c>
      <c r="M21" s="16">
        <v>310</v>
      </c>
      <c r="N21" s="16">
        <v>500</v>
      </c>
      <c r="O21" s="16">
        <v>780</v>
      </c>
      <c r="P21" s="16" t="s">
        <v>99</v>
      </c>
      <c r="Q21" s="16" t="s">
        <v>109</v>
      </c>
      <c r="R21" s="16" t="s">
        <v>110</v>
      </c>
      <c r="S21" s="16">
        <v>5</v>
      </c>
      <c r="T21" s="16" t="s">
        <v>111</v>
      </c>
      <c r="U21" s="16" t="s">
        <v>100</v>
      </c>
      <c r="V21" s="17" t="s">
        <v>112</v>
      </c>
    </row>
    <row r="22" spans="1:22" x14ac:dyDescent="0.25">
      <c r="A22" s="11">
        <v>1600</v>
      </c>
      <c r="B22" s="10">
        <v>2000</v>
      </c>
      <c r="C22" s="15"/>
      <c r="D22" s="18"/>
      <c r="E22" s="16">
        <v>18</v>
      </c>
      <c r="F22" s="16">
        <v>25</v>
      </c>
      <c r="G22" s="16">
        <v>35</v>
      </c>
      <c r="H22" s="16">
        <v>46</v>
      </c>
      <c r="I22" s="16">
        <v>65</v>
      </c>
      <c r="J22" s="16">
        <v>92</v>
      </c>
      <c r="K22" s="16">
        <v>150</v>
      </c>
      <c r="L22" s="16">
        <v>230</v>
      </c>
      <c r="M22" s="16">
        <v>370</v>
      </c>
      <c r="N22" s="16">
        <v>600</v>
      </c>
      <c r="O22" s="16">
        <v>920</v>
      </c>
      <c r="P22" s="16" t="s">
        <v>37</v>
      </c>
      <c r="Q22" s="16" t="s">
        <v>89</v>
      </c>
      <c r="R22" s="16" t="s">
        <v>113</v>
      </c>
      <c r="S22" s="16">
        <v>6</v>
      </c>
      <c r="T22" s="16" t="s">
        <v>114</v>
      </c>
      <c r="U22" s="16">
        <v>15</v>
      </c>
      <c r="V22" s="17">
        <v>23</v>
      </c>
    </row>
    <row r="23" spans="1:22" x14ac:dyDescent="0.25">
      <c r="A23" s="11">
        <v>2000</v>
      </c>
      <c r="B23" s="10">
        <v>2500</v>
      </c>
      <c r="C23" s="15"/>
      <c r="D23" s="18"/>
      <c r="E23" s="16">
        <v>22</v>
      </c>
      <c r="F23" s="16">
        <v>30</v>
      </c>
      <c r="G23" s="16">
        <v>41</v>
      </c>
      <c r="H23" s="16">
        <v>55</v>
      </c>
      <c r="I23" s="16">
        <v>78</v>
      </c>
      <c r="J23" s="16">
        <v>110</v>
      </c>
      <c r="K23" s="16">
        <v>175</v>
      </c>
      <c r="L23" s="16">
        <v>280</v>
      </c>
      <c r="M23" s="16">
        <v>440</v>
      </c>
      <c r="N23" s="16">
        <v>700</v>
      </c>
      <c r="O23" s="16">
        <v>1100</v>
      </c>
      <c r="P23" s="16" t="s">
        <v>96</v>
      </c>
      <c r="Q23" s="16" t="s">
        <v>97</v>
      </c>
      <c r="R23" s="16" t="s">
        <v>98</v>
      </c>
      <c r="S23" s="16">
        <v>7</v>
      </c>
      <c r="T23" s="16">
        <v>11</v>
      </c>
      <c r="U23" s="16" t="s">
        <v>115</v>
      </c>
      <c r="V23" s="17">
        <v>28</v>
      </c>
    </row>
    <row r="24" spans="1:22" ht="15.75" thickBot="1" x14ac:dyDescent="0.3">
      <c r="A24" s="5">
        <v>2500</v>
      </c>
      <c r="B24" s="6">
        <v>3150</v>
      </c>
      <c r="C24" s="19"/>
      <c r="D24" s="20"/>
      <c r="E24" s="21">
        <v>26</v>
      </c>
      <c r="F24" s="21">
        <v>36</v>
      </c>
      <c r="G24" s="21">
        <v>50</v>
      </c>
      <c r="H24" s="21">
        <v>68</v>
      </c>
      <c r="I24" s="21">
        <v>96</v>
      </c>
      <c r="J24" s="21">
        <v>135</v>
      </c>
      <c r="K24" s="21">
        <v>210</v>
      </c>
      <c r="L24" s="21">
        <v>330</v>
      </c>
      <c r="M24" s="21">
        <v>540</v>
      </c>
      <c r="N24" s="21">
        <v>860</v>
      </c>
      <c r="O24" s="21">
        <v>1350</v>
      </c>
      <c r="P24" s="21" t="s">
        <v>60</v>
      </c>
      <c r="Q24" s="21" t="s">
        <v>61</v>
      </c>
      <c r="R24" s="21" t="s">
        <v>74</v>
      </c>
      <c r="S24" s="21" t="s">
        <v>116</v>
      </c>
      <c r="T24" s="21" t="s">
        <v>117</v>
      </c>
      <c r="U24" s="21">
        <v>21</v>
      </c>
      <c r="V24" s="22">
        <v>33</v>
      </c>
    </row>
  </sheetData>
  <mergeCells count="4">
    <mergeCell ref="A1:B1"/>
    <mergeCell ref="C3:O3"/>
    <mergeCell ref="P3:V3"/>
    <mergeCell ref="C1:V1"/>
  </mergeCells>
  <pageMargins left="0.7" right="0.7" top="0.75" bottom="0.75" header="0.3" footer="0.3"/>
  <customProperties>
    <customPr name="DynardoMOPSolver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F979A-9641-4E50-8408-8EC0469E4717}">
  <dimension ref="D3:AV49"/>
  <sheetViews>
    <sheetView topLeftCell="A3" zoomScaleNormal="100" workbookViewId="0">
      <selection activeCell="P11" sqref="P11:P12"/>
    </sheetView>
  </sheetViews>
  <sheetFormatPr defaultRowHeight="15" x14ac:dyDescent="0.25"/>
  <cols>
    <col min="5" max="5" width="19.28515625" customWidth="1"/>
    <col min="21" max="21" width="12" customWidth="1"/>
    <col min="27" max="27" width="11.42578125" customWidth="1"/>
  </cols>
  <sheetData>
    <row r="3" spans="4:48" ht="15.75" thickBot="1" x14ac:dyDescent="0.3"/>
    <row r="4" spans="4:48" ht="24.75" thickBot="1" x14ac:dyDescent="0.45">
      <c r="F4" s="96" t="s">
        <v>120</v>
      </c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</row>
    <row r="5" spans="4:48" ht="33" customHeight="1" thickBot="1" x14ac:dyDescent="0.3">
      <c r="F5" s="97" t="s">
        <v>121</v>
      </c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 t="s">
        <v>122</v>
      </c>
      <c r="S5" s="97"/>
      <c r="T5" s="97"/>
      <c r="U5" s="97"/>
      <c r="V5" s="97"/>
      <c r="W5" s="97"/>
      <c r="X5" s="97"/>
    </row>
    <row r="6" spans="4:48" ht="47.25" customHeight="1" thickBot="1" x14ac:dyDescent="0.3">
      <c r="D6" s="95" t="s">
        <v>2</v>
      </c>
      <c r="E6" s="95"/>
      <c r="F6" s="98" t="s">
        <v>123</v>
      </c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29" t="s">
        <v>14</v>
      </c>
      <c r="S6" s="29" t="s">
        <v>15</v>
      </c>
      <c r="T6" s="29" t="s">
        <v>16</v>
      </c>
      <c r="U6" s="30" t="s">
        <v>136</v>
      </c>
      <c r="V6" s="29" t="s">
        <v>137</v>
      </c>
      <c r="W6" s="30" t="s">
        <v>136</v>
      </c>
      <c r="X6" s="29" t="s">
        <v>137</v>
      </c>
      <c r="Z6" s="95"/>
      <c r="AA6" s="95"/>
      <c r="AB6" s="45" t="s">
        <v>136</v>
      </c>
      <c r="AC6" s="45" t="s">
        <v>137</v>
      </c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30"/>
      <c r="AR6" s="29"/>
      <c r="AS6" s="30"/>
      <c r="AT6" s="29"/>
      <c r="AU6" s="30"/>
      <c r="AV6" s="29"/>
    </row>
    <row r="7" spans="4:48" ht="33.75" customHeight="1" thickTop="1" thickBot="1" x14ac:dyDescent="0.3">
      <c r="D7" s="26" t="s">
        <v>1</v>
      </c>
      <c r="E7" s="27" t="s">
        <v>3</v>
      </c>
      <c r="F7" s="28" t="s">
        <v>124</v>
      </c>
      <c r="G7" s="28" t="s">
        <v>125</v>
      </c>
      <c r="H7" s="28" t="s">
        <v>126</v>
      </c>
      <c r="I7" s="28" t="s">
        <v>131</v>
      </c>
      <c r="J7" s="28" t="s">
        <v>127</v>
      </c>
      <c r="K7" s="28" t="s">
        <v>128</v>
      </c>
      <c r="L7" s="28" t="s">
        <v>132</v>
      </c>
      <c r="M7" s="28" t="s">
        <v>129</v>
      </c>
      <c r="N7" s="28" t="s">
        <v>133</v>
      </c>
      <c r="O7" s="28" t="s">
        <v>130</v>
      </c>
      <c r="P7" s="28" t="s">
        <v>134</v>
      </c>
      <c r="Q7" s="28" t="s">
        <v>135</v>
      </c>
      <c r="R7" s="99" t="s">
        <v>138</v>
      </c>
      <c r="S7" s="99"/>
      <c r="T7" s="99"/>
      <c r="U7" s="99" t="s">
        <v>139</v>
      </c>
      <c r="V7" s="99"/>
      <c r="W7" s="99" t="s">
        <v>140</v>
      </c>
      <c r="X7" s="99"/>
      <c r="Z7" s="26" t="s">
        <v>1</v>
      </c>
      <c r="AA7" s="44" t="s">
        <v>3</v>
      </c>
      <c r="AB7" s="122" t="s">
        <v>161</v>
      </c>
      <c r="AC7" s="123"/>
      <c r="AD7" s="28" t="s">
        <v>162</v>
      </c>
      <c r="AE7" s="28" t="s">
        <v>163</v>
      </c>
      <c r="AF7" s="28" t="s">
        <v>164</v>
      </c>
      <c r="AG7" s="28" t="s">
        <v>165</v>
      </c>
      <c r="AH7" s="28" t="s">
        <v>166</v>
      </c>
      <c r="AI7" s="28" t="s">
        <v>167</v>
      </c>
      <c r="AJ7" s="28" t="s">
        <v>168</v>
      </c>
      <c r="AK7" s="28" t="s">
        <v>169</v>
      </c>
      <c r="AL7" s="28" t="s">
        <v>170</v>
      </c>
      <c r="AM7" s="28" t="s">
        <v>171</v>
      </c>
      <c r="AN7" s="28" t="s">
        <v>172</v>
      </c>
      <c r="AO7" s="28" t="s">
        <v>173</v>
      </c>
      <c r="AP7" s="28" t="s">
        <v>174</v>
      </c>
      <c r="AQ7" s="28" t="s">
        <v>11</v>
      </c>
      <c r="AR7" s="28" t="s">
        <v>12</v>
      </c>
      <c r="AS7" s="28" t="s">
        <v>13</v>
      </c>
      <c r="AT7" s="28" t="s">
        <v>14</v>
      </c>
      <c r="AU7" s="28" t="s">
        <v>15</v>
      </c>
      <c r="AV7" s="28" t="s">
        <v>16</v>
      </c>
    </row>
    <row r="8" spans="4:48" ht="15" customHeight="1" x14ac:dyDescent="0.25">
      <c r="D8" s="31" t="s">
        <v>4</v>
      </c>
      <c r="E8" s="32">
        <v>3</v>
      </c>
      <c r="F8" s="33">
        <v>270</v>
      </c>
      <c r="G8" s="33">
        <v>140</v>
      </c>
      <c r="H8" s="33">
        <v>60</v>
      </c>
      <c r="I8" s="33">
        <v>34</v>
      </c>
      <c r="J8" s="33">
        <v>20</v>
      </c>
      <c r="K8" s="33">
        <v>14</v>
      </c>
      <c r="L8" s="33">
        <v>10</v>
      </c>
      <c r="M8" s="33">
        <v>6</v>
      </c>
      <c r="N8" s="33">
        <v>4</v>
      </c>
      <c r="O8" s="33">
        <v>2</v>
      </c>
      <c r="P8" s="33">
        <v>0</v>
      </c>
      <c r="Q8" s="103" t="s">
        <v>142</v>
      </c>
      <c r="R8" s="32">
        <v>2</v>
      </c>
      <c r="S8" s="32">
        <v>4</v>
      </c>
      <c r="T8" s="32">
        <v>6</v>
      </c>
      <c r="U8" s="32">
        <v>0</v>
      </c>
      <c r="V8" s="32">
        <v>0</v>
      </c>
      <c r="W8" s="32">
        <v>-2</v>
      </c>
      <c r="X8" s="41">
        <v>-2</v>
      </c>
      <c r="Z8" s="31" t="s">
        <v>5</v>
      </c>
      <c r="AA8" s="32">
        <v>3</v>
      </c>
      <c r="AB8" s="33">
        <v>-4</v>
      </c>
      <c r="AC8" s="33">
        <v>-4</v>
      </c>
      <c r="AD8" s="118" t="s">
        <v>176</v>
      </c>
      <c r="AE8" s="33">
        <v>-6</v>
      </c>
      <c r="AF8" s="33">
        <v>-10</v>
      </c>
      <c r="AG8" s="33">
        <v>-14</v>
      </c>
      <c r="AH8" s="33"/>
      <c r="AI8" s="33"/>
      <c r="AJ8" s="33"/>
      <c r="AK8" s="33"/>
      <c r="AL8" s="33"/>
      <c r="AM8" s="103"/>
      <c r="AN8" s="32"/>
      <c r="AO8" s="32"/>
      <c r="AP8" s="32"/>
      <c r="AQ8" s="32"/>
      <c r="AR8" s="32"/>
      <c r="AS8" s="32"/>
      <c r="AT8" s="41"/>
      <c r="AU8" s="32"/>
      <c r="AV8" s="41"/>
    </row>
    <row r="9" spans="4:48" x14ac:dyDescent="0.25">
      <c r="D9" s="34">
        <v>3</v>
      </c>
      <c r="E9" s="35">
        <v>6</v>
      </c>
      <c r="F9" s="18">
        <v>270</v>
      </c>
      <c r="G9" s="18">
        <v>140</v>
      </c>
      <c r="H9" s="18">
        <v>70</v>
      </c>
      <c r="I9" s="18">
        <v>46</v>
      </c>
      <c r="J9" s="18">
        <v>30</v>
      </c>
      <c r="K9" s="18">
        <v>20</v>
      </c>
      <c r="L9" s="18">
        <v>14</v>
      </c>
      <c r="M9" s="18">
        <v>10</v>
      </c>
      <c r="N9" s="18">
        <v>6</v>
      </c>
      <c r="O9" s="18">
        <v>4</v>
      </c>
      <c r="P9" s="18">
        <v>0</v>
      </c>
      <c r="Q9" s="104"/>
      <c r="R9" s="35">
        <v>5</v>
      </c>
      <c r="S9" s="35">
        <v>6</v>
      </c>
      <c r="T9" s="35">
        <v>10</v>
      </c>
      <c r="U9" s="42" t="s">
        <v>143</v>
      </c>
      <c r="V9" s="35"/>
      <c r="W9" s="42" t="s">
        <v>149</v>
      </c>
      <c r="X9" s="43">
        <v>-4</v>
      </c>
      <c r="Z9" s="34">
        <v>3</v>
      </c>
      <c r="AA9" s="35">
        <v>6</v>
      </c>
      <c r="AB9" s="36"/>
      <c r="AC9" s="18">
        <v>0</v>
      </c>
      <c r="AD9" s="119"/>
      <c r="AE9" s="18">
        <v>-12</v>
      </c>
      <c r="AF9" s="18">
        <v>-15</v>
      </c>
      <c r="AG9" s="18">
        <v>-19</v>
      </c>
      <c r="AH9" s="18"/>
      <c r="AI9" s="18"/>
      <c r="AJ9" s="18"/>
      <c r="AK9" s="18"/>
      <c r="AL9" s="18"/>
      <c r="AM9" s="104"/>
      <c r="AN9" s="35"/>
      <c r="AO9" s="35"/>
      <c r="AP9" s="35"/>
      <c r="AQ9" s="42"/>
      <c r="AR9" s="35"/>
      <c r="AS9" s="42"/>
      <c r="AT9" s="43"/>
      <c r="AU9" s="42"/>
      <c r="AV9" s="43"/>
    </row>
    <row r="10" spans="4:48" x14ac:dyDescent="0.25">
      <c r="D10" s="34">
        <v>6</v>
      </c>
      <c r="E10" s="35">
        <v>10</v>
      </c>
      <c r="F10" s="18">
        <v>280</v>
      </c>
      <c r="G10" s="18">
        <v>150</v>
      </c>
      <c r="H10" s="18">
        <v>80</v>
      </c>
      <c r="I10" s="18">
        <v>56</v>
      </c>
      <c r="J10" s="18">
        <v>40</v>
      </c>
      <c r="K10" s="18">
        <v>25</v>
      </c>
      <c r="L10" s="18">
        <v>18</v>
      </c>
      <c r="M10" s="18">
        <v>13</v>
      </c>
      <c r="N10" s="18">
        <v>8</v>
      </c>
      <c r="O10" s="18">
        <v>5</v>
      </c>
      <c r="P10" s="18">
        <v>0</v>
      </c>
      <c r="Q10" s="104"/>
      <c r="R10" s="35">
        <v>5</v>
      </c>
      <c r="S10" s="35">
        <v>8</v>
      </c>
      <c r="T10" s="35">
        <v>12</v>
      </c>
      <c r="U10" s="42" t="s">
        <v>143</v>
      </c>
      <c r="V10" s="35"/>
      <c r="W10" s="42" t="s">
        <v>150</v>
      </c>
      <c r="X10" s="43">
        <v>-6</v>
      </c>
      <c r="Z10" s="34">
        <f>AA9</f>
        <v>6</v>
      </c>
      <c r="AA10" s="35">
        <v>10</v>
      </c>
      <c r="AB10" s="36"/>
      <c r="AC10" s="18">
        <v>0</v>
      </c>
      <c r="AD10" s="119"/>
      <c r="AE10" s="18">
        <v>-15</v>
      </c>
      <c r="AF10" s="18">
        <v>-19</v>
      </c>
      <c r="AG10" s="18">
        <v>-23</v>
      </c>
      <c r="AH10" s="18"/>
      <c r="AI10" s="18"/>
      <c r="AJ10" s="18"/>
      <c r="AK10" s="18"/>
      <c r="AL10" s="18"/>
      <c r="AM10" s="104"/>
      <c r="AN10" s="35"/>
      <c r="AO10" s="35"/>
      <c r="AP10" s="35"/>
      <c r="AQ10" s="42"/>
      <c r="AR10" s="35"/>
      <c r="AS10" s="42"/>
      <c r="AT10" s="43"/>
      <c r="AU10" s="42"/>
      <c r="AV10" s="43"/>
    </row>
    <row r="11" spans="4:48" x14ac:dyDescent="0.25">
      <c r="D11" s="34">
        <v>10</v>
      </c>
      <c r="E11" s="35">
        <v>14</v>
      </c>
      <c r="F11" s="100">
        <v>290</v>
      </c>
      <c r="G11" s="100">
        <v>150</v>
      </c>
      <c r="H11" s="100">
        <v>95</v>
      </c>
      <c r="I11" s="100">
        <v>70</v>
      </c>
      <c r="J11" s="100">
        <v>50</v>
      </c>
      <c r="K11" s="100">
        <v>32</v>
      </c>
      <c r="L11" s="100">
        <v>23</v>
      </c>
      <c r="M11" s="100">
        <v>16</v>
      </c>
      <c r="N11" s="100">
        <v>10</v>
      </c>
      <c r="O11" s="100">
        <v>6</v>
      </c>
      <c r="P11" s="101">
        <v>0</v>
      </c>
      <c r="Q11" s="104"/>
      <c r="R11" s="106">
        <v>6</v>
      </c>
      <c r="S11" s="106">
        <v>10</v>
      </c>
      <c r="T11" s="106">
        <v>15</v>
      </c>
      <c r="U11" s="106" t="s">
        <v>144</v>
      </c>
      <c r="V11" s="106"/>
      <c r="W11" s="107" t="s">
        <v>151</v>
      </c>
      <c r="X11" s="108">
        <v>-7</v>
      </c>
      <c r="Z11" s="34">
        <f t="shared" ref="Z11:Z34" si="0">AA10</f>
        <v>10</v>
      </c>
      <c r="AA11" s="35">
        <v>14</v>
      </c>
      <c r="AB11" s="100"/>
      <c r="AC11" s="100">
        <v>0</v>
      </c>
      <c r="AD11" s="119"/>
      <c r="AE11" s="100">
        <v>-18</v>
      </c>
      <c r="AF11" s="100">
        <v>-23</v>
      </c>
      <c r="AG11" s="100">
        <v>-28</v>
      </c>
      <c r="AH11" s="100"/>
      <c r="AI11" s="100"/>
      <c r="AJ11" s="100"/>
      <c r="AK11" s="100"/>
      <c r="AL11" s="100"/>
      <c r="AM11" s="104"/>
      <c r="AN11" s="106"/>
      <c r="AO11" s="106"/>
      <c r="AP11" s="106"/>
      <c r="AQ11" s="106"/>
      <c r="AR11" s="106"/>
      <c r="AS11" s="107"/>
      <c r="AT11" s="108"/>
      <c r="AU11" s="107"/>
      <c r="AV11" s="108"/>
    </row>
    <row r="12" spans="4:48" x14ac:dyDescent="0.25">
      <c r="D12" s="34">
        <v>14</v>
      </c>
      <c r="E12" s="35">
        <v>18</v>
      </c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1"/>
      <c r="Q12" s="104"/>
      <c r="R12" s="106"/>
      <c r="S12" s="106"/>
      <c r="T12" s="106"/>
      <c r="U12" s="106"/>
      <c r="V12" s="106"/>
      <c r="W12" s="106"/>
      <c r="X12" s="108"/>
      <c r="Z12" s="34">
        <f t="shared" si="0"/>
        <v>14</v>
      </c>
      <c r="AA12" s="35">
        <v>18</v>
      </c>
      <c r="AB12" s="100"/>
      <c r="AC12" s="100"/>
      <c r="AD12" s="119"/>
      <c r="AE12" s="100"/>
      <c r="AF12" s="100"/>
      <c r="AG12" s="100"/>
      <c r="AH12" s="100"/>
      <c r="AI12" s="100"/>
      <c r="AJ12" s="100"/>
      <c r="AK12" s="100"/>
      <c r="AL12" s="100"/>
      <c r="AM12" s="104"/>
      <c r="AN12" s="106"/>
      <c r="AO12" s="106"/>
      <c r="AP12" s="106"/>
      <c r="AQ12" s="106"/>
      <c r="AR12" s="106"/>
      <c r="AS12" s="106"/>
      <c r="AT12" s="108"/>
      <c r="AU12" s="106"/>
      <c r="AV12" s="108"/>
    </row>
    <row r="13" spans="4:48" x14ac:dyDescent="0.25">
      <c r="D13" s="34">
        <v>18</v>
      </c>
      <c r="E13" s="35">
        <v>24</v>
      </c>
      <c r="F13" s="100">
        <v>300</v>
      </c>
      <c r="G13" s="100">
        <v>160</v>
      </c>
      <c r="H13" s="100">
        <v>110</v>
      </c>
      <c r="I13" s="100">
        <v>85</v>
      </c>
      <c r="J13" s="100">
        <v>65</v>
      </c>
      <c r="K13" s="100">
        <v>40</v>
      </c>
      <c r="L13" s="100">
        <v>28</v>
      </c>
      <c r="M13" s="100">
        <v>20</v>
      </c>
      <c r="N13" s="100">
        <v>12</v>
      </c>
      <c r="O13" s="100">
        <v>7</v>
      </c>
      <c r="P13" s="100">
        <v>0</v>
      </c>
      <c r="Q13" s="104"/>
      <c r="R13" s="106">
        <v>8</v>
      </c>
      <c r="S13" s="106">
        <v>12</v>
      </c>
      <c r="T13" s="106">
        <v>20</v>
      </c>
      <c r="U13" s="107" t="s">
        <v>145</v>
      </c>
      <c r="V13" s="106"/>
      <c r="W13" s="107" t="s">
        <v>152</v>
      </c>
      <c r="X13" s="108">
        <v>-8</v>
      </c>
      <c r="Z13" s="34">
        <f t="shared" si="0"/>
        <v>18</v>
      </c>
      <c r="AA13" s="35">
        <v>24</v>
      </c>
      <c r="AB13" s="100"/>
      <c r="AC13" s="100">
        <v>0</v>
      </c>
      <c r="AD13" s="119"/>
      <c r="AE13" s="100">
        <v>-22</v>
      </c>
      <c r="AF13" s="100">
        <v>-28</v>
      </c>
      <c r="AG13" s="100">
        <v>-35</v>
      </c>
      <c r="AH13" s="100"/>
      <c r="AI13" s="100"/>
      <c r="AJ13" s="100"/>
      <c r="AK13" s="100"/>
      <c r="AL13" s="100"/>
      <c r="AM13" s="104"/>
      <c r="AN13" s="106"/>
      <c r="AO13" s="106"/>
      <c r="AP13" s="106"/>
      <c r="AQ13" s="107"/>
      <c r="AR13" s="106"/>
      <c r="AS13" s="107"/>
      <c r="AT13" s="108"/>
      <c r="AU13" s="107"/>
      <c r="AV13" s="108"/>
    </row>
    <row r="14" spans="4:48" x14ac:dyDescent="0.25">
      <c r="D14" s="34">
        <v>24</v>
      </c>
      <c r="E14" s="35">
        <v>30</v>
      </c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4"/>
      <c r="R14" s="106"/>
      <c r="S14" s="106"/>
      <c r="T14" s="106"/>
      <c r="U14" s="106"/>
      <c r="V14" s="106"/>
      <c r="W14" s="106"/>
      <c r="X14" s="108"/>
      <c r="Z14" s="34">
        <f t="shared" si="0"/>
        <v>24</v>
      </c>
      <c r="AA14" s="35">
        <v>30</v>
      </c>
      <c r="AB14" s="100"/>
      <c r="AC14" s="100"/>
      <c r="AD14" s="119"/>
      <c r="AE14" s="100"/>
      <c r="AF14" s="100"/>
      <c r="AG14" s="100"/>
      <c r="AH14" s="100"/>
      <c r="AI14" s="100"/>
      <c r="AJ14" s="100"/>
      <c r="AK14" s="100"/>
      <c r="AL14" s="100"/>
      <c r="AM14" s="104"/>
      <c r="AN14" s="106"/>
      <c r="AO14" s="106"/>
      <c r="AP14" s="106"/>
      <c r="AQ14" s="106"/>
      <c r="AR14" s="106"/>
      <c r="AS14" s="106"/>
      <c r="AT14" s="108"/>
      <c r="AU14" s="106"/>
      <c r="AV14" s="108"/>
    </row>
    <row r="15" spans="4:48" x14ac:dyDescent="0.25">
      <c r="D15" s="34">
        <v>30</v>
      </c>
      <c r="E15" s="35">
        <v>40</v>
      </c>
      <c r="F15" s="18">
        <v>310</v>
      </c>
      <c r="G15" s="18">
        <v>170</v>
      </c>
      <c r="H15" s="18">
        <v>120</v>
      </c>
      <c r="I15" s="100">
        <v>100</v>
      </c>
      <c r="J15" s="100">
        <v>80</v>
      </c>
      <c r="K15" s="100">
        <v>50</v>
      </c>
      <c r="L15" s="100">
        <v>35</v>
      </c>
      <c r="M15" s="100">
        <v>25</v>
      </c>
      <c r="N15" s="100">
        <v>15</v>
      </c>
      <c r="O15" s="100">
        <v>9</v>
      </c>
      <c r="P15" s="100">
        <v>0</v>
      </c>
      <c r="Q15" s="104"/>
      <c r="R15" s="106">
        <v>10</v>
      </c>
      <c r="S15" s="106">
        <v>14</v>
      </c>
      <c r="T15" s="106">
        <v>24</v>
      </c>
      <c r="U15" s="107" t="s">
        <v>145</v>
      </c>
      <c r="V15" s="106"/>
      <c r="W15" s="107" t="s">
        <v>153</v>
      </c>
      <c r="X15" s="108">
        <v>-9</v>
      </c>
      <c r="Z15" s="34">
        <f t="shared" si="0"/>
        <v>30</v>
      </c>
      <c r="AA15" s="35">
        <v>40</v>
      </c>
      <c r="AB15" s="100"/>
      <c r="AC15" s="100">
        <v>0</v>
      </c>
      <c r="AD15" s="119"/>
      <c r="AE15" s="100">
        <v>-26</v>
      </c>
      <c r="AF15" s="100">
        <v>-34</v>
      </c>
      <c r="AG15" s="100">
        <v>-43</v>
      </c>
      <c r="AH15" s="100"/>
      <c r="AI15" s="100"/>
      <c r="AJ15" s="100"/>
      <c r="AK15" s="100"/>
      <c r="AL15" s="100"/>
      <c r="AM15" s="104"/>
      <c r="AN15" s="106"/>
      <c r="AO15" s="106"/>
      <c r="AP15" s="106"/>
      <c r="AQ15" s="107"/>
      <c r="AR15" s="106"/>
      <c r="AS15" s="107"/>
      <c r="AT15" s="108"/>
      <c r="AU15" s="107"/>
      <c r="AV15" s="108"/>
    </row>
    <row r="16" spans="4:48" x14ac:dyDescent="0.25">
      <c r="D16" s="34">
        <v>40</v>
      </c>
      <c r="E16" s="35">
        <v>50</v>
      </c>
      <c r="F16" s="18">
        <v>320</v>
      </c>
      <c r="G16" s="18">
        <v>180</v>
      </c>
      <c r="H16" s="18">
        <v>130</v>
      </c>
      <c r="I16" s="100"/>
      <c r="J16" s="100"/>
      <c r="K16" s="100"/>
      <c r="L16" s="100"/>
      <c r="M16" s="100"/>
      <c r="N16" s="100"/>
      <c r="O16" s="100"/>
      <c r="P16" s="100"/>
      <c r="Q16" s="104"/>
      <c r="R16" s="106"/>
      <c r="S16" s="106"/>
      <c r="T16" s="106"/>
      <c r="U16" s="106"/>
      <c r="V16" s="106"/>
      <c r="W16" s="106"/>
      <c r="X16" s="108"/>
      <c r="Z16" s="34">
        <f t="shared" si="0"/>
        <v>40</v>
      </c>
      <c r="AA16" s="35">
        <v>50</v>
      </c>
      <c r="AB16" s="100"/>
      <c r="AC16" s="100"/>
      <c r="AD16" s="119"/>
      <c r="AE16" s="100"/>
      <c r="AF16" s="100"/>
      <c r="AG16" s="100"/>
      <c r="AH16" s="100"/>
      <c r="AI16" s="100"/>
      <c r="AJ16" s="100"/>
      <c r="AK16" s="100"/>
      <c r="AL16" s="100"/>
      <c r="AM16" s="104"/>
      <c r="AN16" s="106"/>
      <c r="AO16" s="106"/>
      <c r="AP16" s="106"/>
      <c r="AQ16" s="106"/>
      <c r="AR16" s="106"/>
      <c r="AS16" s="106"/>
      <c r="AT16" s="108"/>
      <c r="AU16" s="106"/>
      <c r="AV16" s="108"/>
    </row>
    <row r="17" spans="4:48" x14ac:dyDescent="0.25">
      <c r="D17" s="34">
        <v>50</v>
      </c>
      <c r="E17" s="35">
        <v>65</v>
      </c>
      <c r="F17" s="18">
        <v>340</v>
      </c>
      <c r="G17" s="18">
        <v>190</v>
      </c>
      <c r="H17" s="18">
        <v>140</v>
      </c>
      <c r="I17" s="100"/>
      <c r="J17" s="100">
        <v>100</v>
      </c>
      <c r="K17" s="100">
        <v>60</v>
      </c>
      <c r="L17" s="100"/>
      <c r="M17" s="100">
        <v>30</v>
      </c>
      <c r="N17" s="100"/>
      <c r="O17" s="100">
        <v>10</v>
      </c>
      <c r="P17" s="100">
        <v>0</v>
      </c>
      <c r="Q17" s="104"/>
      <c r="R17" s="106">
        <v>13</v>
      </c>
      <c r="S17" s="106">
        <v>18</v>
      </c>
      <c r="T17" s="106">
        <v>28</v>
      </c>
      <c r="U17" s="107" t="s">
        <v>145</v>
      </c>
      <c r="V17" s="106"/>
      <c r="W17" s="107" t="s">
        <v>154</v>
      </c>
      <c r="X17" s="108">
        <v>-11</v>
      </c>
      <c r="Z17" s="34">
        <f t="shared" si="0"/>
        <v>50</v>
      </c>
      <c r="AA17" s="35">
        <v>65</v>
      </c>
      <c r="AB17" s="100"/>
      <c r="AC17" s="100">
        <v>0</v>
      </c>
      <c r="AD17" s="119"/>
      <c r="AE17" s="100">
        <v>-32</v>
      </c>
      <c r="AF17" s="36">
        <v>-41</v>
      </c>
      <c r="AG17" s="36">
        <v>-53</v>
      </c>
      <c r="AH17" s="100"/>
      <c r="AI17" s="100"/>
      <c r="AJ17" s="100"/>
      <c r="AK17" s="100"/>
      <c r="AL17" s="100"/>
      <c r="AM17" s="104"/>
      <c r="AN17" s="106"/>
      <c r="AO17" s="106"/>
      <c r="AP17" s="106"/>
      <c r="AQ17" s="107"/>
      <c r="AR17" s="106"/>
      <c r="AS17" s="107"/>
      <c r="AT17" s="108"/>
      <c r="AU17" s="107"/>
      <c r="AV17" s="108"/>
    </row>
    <row r="18" spans="4:48" x14ac:dyDescent="0.25">
      <c r="D18" s="34">
        <v>65</v>
      </c>
      <c r="E18" s="35">
        <v>80</v>
      </c>
      <c r="F18" s="18">
        <v>360</v>
      </c>
      <c r="G18" s="18">
        <v>200</v>
      </c>
      <c r="H18" s="18">
        <v>150</v>
      </c>
      <c r="I18" s="100"/>
      <c r="J18" s="100"/>
      <c r="K18" s="100"/>
      <c r="L18" s="100"/>
      <c r="M18" s="100"/>
      <c r="N18" s="100"/>
      <c r="O18" s="100"/>
      <c r="P18" s="100"/>
      <c r="Q18" s="104"/>
      <c r="R18" s="106"/>
      <c r="S18" s="106"/>
      <c r="T18" s="106"/>
      <c r="U18" s="106"/>
      <c r="V18" s="106"/>
      <c r="W18" s="106"/>
      <c r="X18" s="108"/>
      <c r="Z18" s="34">
        <f t="shared" si="0"/>
        <v>65</v>
      </c>
      <c r="AA18" s="35">
        <v>80</v>
      </c>
      <c r="AB18" s="100"/>
      <c r="AC18" s="100"/>
      <c r="AD18" s="119"/>
      <c r="AE18" s="100"/>
      <c r="AF18" s="36">
        <v>-43</v>
      </c>
      <c r="AG18" s="36">
        <v>-59</v>
      </c>
      <c r="AH18" s="100"/>
      <c r="AI18" s="100"/>
      <c r="AJ18" s="100"/>
      <c r="AK18" s="100"/>
      <c r="AL18" s="100"/>
      <c r="AM18" s="104"/>
      <c r="AN18" s="106"/>
      <c r="AO18" s="106"/>
      <c r="AP18" s="106"/>
      <c r="AQ18" s="106"/>
      <c r="AR18" s="106"/>
      <c r="AS18" s="106"/>
      <c r="AT18" s="108"/>
      <c r="AU18" s="106"/>
      <c r="AV18" s="108"/>
    </row>
    <row r="19" spans="4:48" x14ac:dyDescent="0.25">
      <c r="D19" s="34">
        <v>80</v>
      </c>
      <c r="E19" s="35">
        <v>100</v>
      </c>
      <c r="F19" s="18">
        <v>380</v>
      </c>
      <c r="G19" s="18">
        <v>220</v>
      </c>
      <c r="H19" s="18">
        <v>170</v>
      </c>
      <c r="I19" s="100"/>
      <c r="J19" s="100">
        <v>120</v>
      </c>
      <c r="K19" s="100">
        <v>72</v>
      </c>
      <c r="L19" s="100"/>
      <c r="M19" s="100">
        <v>36</v>
      </c>
      <c r="N19" s="100"/>
      <c r="O19" s="100">
        <v>12</v>
      </c>
      <c r="P19" s="100">
        <v>0</v>
      </c>
      <c r="Q19" s="104"/>
      <c r="R19" s="106">
        <v>16</v>
      </c>
      <c r="S19" s="106">
        <v>22</v>
      </c>
      <c r="T19" s="106">
        <v>34</v>
      </c>
      <c r="U19" s="107" t="s">
        <v>146</v>
      </c>
      <c r="V19" s="106"/>
      <c r="W19" s="107" t="s">
        <v>155</v>
      </c>
      <c r="X19" s="108">
        <v>-13</v>
      </c>
      <c r="Z19" s="34">
        <f t="shared" si="0"/>
        <v>80</v>
      </c>
      <c r="AA19" s="35">
        <v>100</v>
      </c>
      <c r="AB19" s="116"/>
      <c r="AC19" s="116">
        <v>0</v>
      </c>
      <c r="AD19" s="119"/>
      <c r="AE19" s="116">
        <v>-37</v>
      </c>
      <c r="AF19" s="39">
        <v>-51</v>
      </c>
      <c r="AG19" s="39">
        <v>-71</v>
      </c>
      <c r="AH19" s="100"/>
      <c r="AI19" s="100"/>
      <c r="AJ19" s="100"/>
      <c r="AK19" s="100"/>
      <c r="AL19" s="100"/>
      <c r="AM19" s="104"/>
      <c r="AN19" s="106"/>
      <c r="AO19" s="106"/>
      <c r="AP19" s="106"/>
      <c r="AQ19" s="107"/>
      <c r="AR19" s="106"/>
      <c r="AS19" s="107"/>
      <c r="AT19" s="108"/>
      <c r="AU19" s="107"/>
      <c r="AV19" s="108"/>
    </row>
    <row r="20" spans="4:48" x14ac:dyDescent="0.25">
      <c r="D20" s="34">
        <v>100</v>
      </c>
      <c r="E20" s="35">
        <v>120</v>
      </c>
      <c r="F20" s="18">
        <v>410</v>
      </c>
      <c r="G20" s="18">
        <v>240</v>
      </c>
      <c r="H20" s="18">
        <v>180</v>
      </c>
      <c r="I20" s="100"/>
      <c r="J20" s="100"/>
      <c r="K20" s="100"/>
      <c r="L20" s="100"/>
      <c r="M20" s="100"/>
      <c r="N20" s="100"/>
      <c r="O20" s="100"/>
      <c r="P20" s="100"/>
      <c r="Q20" s="104"/>
      <c r="R20" s="106"/>
      <c r="S20" s="106"/>
      <c r="T20" s="106"/>
      <c r="U20" s="106"/>
      <c r="V20" s="106"/>
      <c r="W20" s="106"/>
      <c r="X20" s="108"/>
      <c r="Z20" s="34">
        <f t="shared" si="0"/>
        <v>100</v>
      </c>
      <c r="AA20" s="35">
        <v>120</v>
      </c>
      <c r="AB20" s="121"/>
      <c r="AC20" s="121"/>
      <c r="AD20" s="119"/>
      <c r="AE20" s="121"/>
      <c r="AF20" s="46">
        <v>-54</v>
      </c>
      <c r="AG20" s="46">
        <v>-79</v>
      </c>
      <c r="AH20" s="100"/>
      <c r="AI20" s="100"/>
      <c r="AJ20" s="100"/>
      <c r="AK20" s="100"/>
      <c r="AL20" s="100"/>
      <c r="AM20" s="104"/>
      <c r="AN20" s="106"/>
      <c r="AO20" s="106"/>
      <c r="AP20" s="106"/>
      <c r="AQ20" s="106"/>
      <c r="AR20" s="106"/>
      <c r="AS20" s="106"/>
      <c r="AT20" s="108"/>
      <c r="AU20" s="106"/>
      <c r="AV20" s="108"/>
    </row>
    <row r="21" spans="4:48" x14ac:dyDescent="0.25">
      <c r="D21" s="34">
        <v>120</v>
      </c>
      <c r="E21" s="35">
        <v>140</v>
      </c>
      <c r="F21" s="18">
        <v>460</v>
      </c>
      <c r="G21" s="18">
        <v>260</v>
      </c>
      <c r="H21" s="18">
        <v>200</v>
      </c>
      <c r="I21" s="100"/>
      <c r="J21" s="100">
        <v>145</v>
      </c>
      <c r="K21" s="100">
        <v>85</v>
      </c>
      <c r="L21" s="100"/>
      <c r="M21" s="100">
        <v>43</v>
      </c>
      <c r="N21" s="100"/>
      <c r="O21" s="100">
        <v>14</v>
      </c>
      <c r="P21" s="100">
        <v>0</v>
      </c>
      <c r="Q21" s="104"/>
      <c r="R21" s="106">
        <v>18</v>
      </c>
      <c r="S21" s="106">
        <v>26</v>
      </c>
      <c r="T21" s="106">
        <v>41</v>
      </c>
      <c r="U21" s="106" t="s">
        <v>146</v>
      </c>
      <c r="V21" s="106"/>
      <c r="W21" s="107" t="s">
        <v>156</v>
      </c>
      <c r="X21" s="108">
        <v>-15</v>
      </c>
      <c r="Z21" s="34">
        <f t="shared" si="0"/>
        <v>120</v>
      </c>
      <c r="AA21" s="35">
        <v>140</v>
      </c>
      <c r="AB21" s="117"/>
      <c r="AC21" s="117"/>
      <c r="AD21" s="119"/>
      <c r="AE21" s="117"/>
      <c r="AF21" s="40">
        <v>-63</v>
      </c>
      <c r="AG21" s="40">
        <v>-92</v>
      </c>
      <c r="AH21" s="100"/>
      <c r="AI21" s="100"/>
      <c r="AJ21" s="100"/>
      <c r="AK21" s="100"/>
      <c r="AL21" s="100"/>
      <c r="AM21" s="104"/>
      <c r="AN21" s="106"/>
      <c r="AO21" s="106"/>
      <c r="AP21" s="106"/>
      <c r="AQ21" s="106"/>
      <c r="AR21" s="106"/>
      <c r="AS21" s="107"/>
      <c r="AT21" s="108"/>
      <c r="AU21" s="107"/>
      <c r="AV21" s="108"/>
    </row>
    <row r="22" spans="4:48" x14ac:dyDescent="0.25">
      <c r="D22" s="34">
        <v>140</v>
      </c>
      <c r="E22" s="35">
        <v>160</v>
      </c>
      <c r="F22" s="18">
        <v>520</v>
      </c>
      <c r="G22" s="18">
        <v>280</v>
      </c>
      <c r="H22" s="18">
        <v>210</v>
      </c>
      <c r="I22" s="100"/>
      <c r="J22" s="100"/>
      <c r="K22" s="100"/>
      <c r="L22" s="100"/>
      <c r="M22" s="100"/>
      <c r="N22" s="100"/>
      <c r="O22" s="100"/>
      <c r="P22" s="100"/>
      <c r="Q22" s="104"/>
      <c r="R22" s="106"/>
      <c r="S22" s="106"/>
      <c r="T22" s="106"/>
      <c r="U22" s="106"/>
      <c r="V22" s="106"/>
      <c r="W22" s="106"/>
      <c r="X22" s="108"/>
      <c r="Z22" s="34">
        <f t="shared" si="0"/>
        <v>140</v>
      </c>
      <c r="AA22" s="35">
        <v>160</v>
      </c>
      <c r="AB22" s="116"/>
      <c r="AC22" s="116">
        <v>0</v>
      </c>
      <c r="AD22" s="119"/>
      <c r="AE22" s="116">
        <v>-43</v>
      </c>
      <c r="AF22" s="39">
        <v>-65</v>
      </c>
      <c r="AG22" s="39">
        <v>-100</v>
      </c>
      <c r="AH22" s="100"/>
      <c r="AI22" s="100"/>
      <c r="AJ22" s="100"/>
      <c r="AK22" s="100"/>
      <c r="AL22" s="100"/>
      <c r="AM22" s="104"/>
      <c r="AN22" s="106"/>
      <c r="AO22" s="106"/>
      <c r="AP22" s="106"/>
      <c r="AQ22" s="106"/>
      <c r="AR22" s="106"/>
      <c r="AS22" s="106"/>
      <c r="AT22" s="108"/>
      <c r="AU22" s="106"/>
      <c r="AV22" s="108"/>
    </row>
    <row r="23" spans="4:48" x14ac:dyDescent="0.25">
      <c r="D23" s="34">
        <v>160</v>
      </c>
      <c r="E23" s="35">
        <v>180</v>
      </c>
      <c r="F23" s="18">
        <v>580</v>
      </c>
      <c r="G23" s="18">
        <v>310</v>
      </c>
      <c r="H23" s="18">
        <v>230</v>
      </c>
      <c r="I23" s="100"/>
      <c r="J23" s="100"/>
      <c r="K23" s="100"/>
      <c r="L23" s="100"/>
      <c r="M23" s="100"/>
      <c r="N23" s="100"/>
      <c r="O23" s="100"/>
      <c r="P23" s="100"/>
      <c r="Q23" s="104"/>
      <c r="R23" s="106"/>
      <c r="S23" s="106"/>
      <c r="T23" s="106"/>
      <c r="U23" s="106"/>
      <c r="V23" s="106"/>
      <c r="W23" s="106"/>
      <c r="X23" s="108"/>
      <c r="Z23" s="34">
        <f t="shared" si="0"/>
        <v>160</v>
      </c>
      <c r="AA23" s="35">
        <v>180</v>
      </c>
      <c r="AB23" s="121"/>
      <c r="AC23" s="121"/>
      <c r="AD23" s="119"/>
      <c r="AE23" s="121"/>
      <c r="AF23" s="46">
        <v>-68</v>
      </c>
      <c r="AG23" s="46">
        <v>-108</v>
      </c>
      <c r="AH23" s="100"/>
      <c r="AI23" s="100"/>
      <c r="AJ23" s="100"/>
      <c r="AK23" s="100"/>
      <c r="AL23" s="100"/>
      <c r="AM23" s="104"/>
      <c r="AN23" s="106"/>
      <c r="AO23" s="106"/>
      <c r="AP23" s="106"/>
      <c r="AQ23" s="106"/>
      <c r="AR23" s="106"/>
      <c r="AS23" s="106"/>
      <c r="AT23" s="108"/>
      <c r="AU23" s="106"/>
      <c r="AV23" s="108"/>
    </row>
    <row r="24" spans="4:48" x14ac:dyDescent="0.25">
      <c r="D24" s="34">
        <v>180</v>
      </c>
      <c r="E24" s="35">
        <v>200</v>
      </c>
      <c r="F24" s="18">
        <v>660</v>
      </c>
      <c r="G24" s="18">
        <v>340</v>
      </c>
      <c r="H24" s="18">
        <v>240</v>
      </c>
      <c r="I24" s="100"/>
      <c r="J24" s="100">
        <v>170</v>
      </c>
      <c r="K24" s="100">
        <v>100</v>
      </c>
      <c r="L24" s="100"/>
      <c r="M24" s="100">
        <v>50</v>
      </c>
      <c r="N24" s="100"/>
      <c r="O24" s="100">
        <v>15</v>
      </c>
      <c r="P24" s="100">
        <v>0</v>
      </c>
      <c r="Q24" s="104"/>
      <c r="R24" s="106">
        <v>22</v>
      </c>
      <c r="S24" s="106">
        <v>30</v>
      </c>
      <c r="T24" s="106">
        <v>47</v>
      </c>
      <c r="U24" s="107" t="s">
        <v>147</v>
      </c>
      <c r="V24" s="106"/>
      <c r="W24" s="107" t="s">
        <v>157</v>
      </c>
      <c r="X24" s="108">
        <v>-17</v>
      </c>
      <c r="Z24" s="34">
        <f t="shared" si="0"/>
        <v>180</v>
      </c>
      <c r="AA24" s="35" t="s">
        <v>175</v>
      </c>
      <c r="AB24" s="117"/>
      <c r="AC24" s="117"/>
      <c r="AD24" s="119"/>
      <c r="AE24" s="117"/>
      <c r="AF24" s="40">
        <v>-77</v>
      </c>
      <c r="AG24" s="40">
        <v>-122</v>
      </c>
      <c r="AH24" s="100"/>
      <c r="AI24" s="100"/>
      <c r="AJ24" s="100"/>
      <c r="AK24" s="100"/>
      <c r="AL24" s="100"/>
      <c r="AM24" s="104"/>
      <c r="AN24" s="106"/>
      <c r="AO24" s="106"/>
      <c r="AP24" s="106"/>
      <c r="AQ24" s="107"/>
      <c r="AR24" s="106"/>
      <c r="AS24" s="107"/>
      <c r="AT24" s="108"/>
      <c r="AU24" s="107"/>
      <c r="AV24" s="108"/>
    </row>
    <row r="25" spans="4:48" x14ac:dyDescent="0.25">
      <c r="D25" s="34">
        <v>200</v>
      </c>
      <c r="E25" s="35">
        <v>225</v>
      </c>
      <c r="F25" s="18">
        <v>740</v>
      </c>
      <c r="G25" s="18">
        <v>380</v>
      </c>
      <c r="H25" s="18">
        <v>260</v>
      </c>
      <c r="I25" s="100"/>
      <c r="J25" s="100"/>
      <c r="K25" s="100"/>
      <c r="L25" s="100"/>
      <c r="M25" s="100"/>
      <c r="N25" s="100"/>
      <c r="O25" s="100"/>
      <c r="P25" s="100"/>
      <c r="Q25" s="104"/>
      <c r="R25" s="106"/>
      <c r="S25" s="106"/>
      <c r="T25" s="106"/>
      <c r="U25" s="106"/>
      <c r="V25" s="106"/>
      <c r="W25" s="106"/>
      <c r="X25" s="108"/>
      <c r="Z25" s="34" t="str">
        <f t="shared" si="0"/>
        <v>2''</v>
      </c>
      <c r="AA25" s="35">
        <v>225</v>
      </c>
      <c r="AB25" s="116"/>
      <c r="AC25" s="116">
        <v>0</v>
      </c>
      <c r="AD25" s="119"/>
      <c r="AE25" s="116">
        <v>-50</v>
      </c>
      <c r="AF25" s="39">
        <v>-80</v>
      </c>
      <c r="AG25" s="39">
        <v>-130</v>
      </c>
      <c r="AH25" s="100"/>
      <c r="AI25" s="100"/>
      <c r="AJ25" s="100"/>
      <c r="AK25" s="100"/>
      <c r="AL25" s="100"/>
      <c r="AM25" s="104"/>
      <c r="AN25" s="106"/>
      <c r="AO25" s="106"/>
      <c r="AP25" s="106"/>
      <c r="AQ25" s="106"/>
      <c r="AR25" s="106"/>
      <c r="AS25" s="106"/>
      <c r="AT25" s="108"/>
      <c r="AU25" s="106"/>
      <c r="AV25" s="108"/>
    </row>
    <row r="26" spans="4:48" x14ac:dyDescent="0.25">
      <c r="D26" s="34">
        <v>225</v>
      </c>
      <c r="E26" s="35">
        <v>250</v>
      </c>
      <c r="F26" s="18">
        <v>820</v>
      </c>
      <c r="G26" s="18">
        <v>420</v>
      </c>
      <c r="H26" s="18">
        <v>280</v>
      </c>
      <c r="I26" s="100"/>
      <c r="J26" s="100"/>
      <c r="K26" s="100"/>
      <c r="L26" s="100"/>
      <c r="M26" s="100"/>
      <c r="N26" s="100"/>
      <c r="O26" s="100"/>
      <c r="P26" s="100"/>
      <c r="Q26" s="104"/>
      <c r="R26" s="106"/>
      <c r="S26" s="106"/>
      <c r="T26" s="106"/>
      <c r="U26" s="106"/>
      <c r="V26" s="106"/>
      <c r="W26" s="106"/>
      <c r="X26" s="108"/>
      <c r="Z26" s="34">
        <f t="shared" si="0"/>
        <v>225</v>
      </c>
      <c r="AA26" s="35">
        <v>250</v>
      </c>
      <c r="AB26" s="117"/>
      <c r="AC26" s="117"/>
      <c r="AD26" s="119"/>
      <c r="AE26" s="117"/>
      <c r="AF26" s="40">
        <v>-84</v>
      </c>
      <c r="AG26" s="40">
        <v>-140</v>
      </c>
      <c r="AH26" s="100"/>
      <c r="AI26" s="100"/>
      <c r="AJ26" s="100"/>
      <c r="AK26" s="100"/>
      <c r="AL26" s="100"/>
      <c r="AM26" s="104"/>
      <c r="AN26" s="106"/>
      <c r="AO26" s="106"/>
      <c r="AP26" s="106"/>
      <c r="AQ26" s="106"/>
      <c r="AR26" s="106"/>
      <c r="AS26" s="106"/>
      <c r="AT26" s="108"/>
      <c r="AU26" s="106"/>
      <c r="AV26" s="108"/>
    </row>
    <row r="27" spans="4:48" x14ac:dyDescent="0.25">
      <c r="D27" s="34">
        <v>250</v>
      </c>
      <c r="E27" s="35">
        <v>280</v>
      </c>
      <c r="F27" s="18">
        <v>920</v>
      </c>
      <c r="G27" s="18">
        <v>480</v>
      </c>
      <c r="H27" s="18">
        <v>300</v>
      </c>
      <c r="I27" s="100"/>
      <c r="J27" s="100">
        <v>190</v>
      </c>
      <c r="K27" s="100">
        <v>110</v>
      </c>
      <c r="L27" s="100"/>
      <c r="M27" s="100">
        <v>56</v>
      </c>
      <c r="N27" s="100"/>
      <c r="O27" s="100">
        <v>17</v>
      </c>
      <c r="P27" s="100">
        <v>0</v>
      </c>
      <c r="Q27" s="104"/>
      <c r="R27" s="106">
        <v>25</v>
      </c>
      <c r="S27" s="106">
        <v>36</v>
      </c>
      <c r="T27" s="106">
        <v>55</v>
      </c>
      <c r="U27" s="106" t="s">
        <v>147</v>
      </c>
      <c r="V27" s="106"/>
      <c r="W27" s="107" t="s">
        <v>158</v>
      </c>
      <c r="X27" s="108">
        <v>-20</v>
      </c>
      <c r="Z27" s="34">
        <f t="shared" si="0"/>
        <v>250</v>
      </c>
      <c r="AA27" s="35">
        <v>280</v>
      </c>
      <c r="AB27" s="116"/>
      <c r="AC27" s="116">
        <v>0</v>
      </c>
      <c r="AD27" s="119"/>
      <c r="AE27" s="116">
        <v>-56</v>
      </c>
      <c r="AF27" s="39">
        <v>-94</v>
      </c>
      <c r="AG27" s="39">
        <v>-158</v>
      </c>
      <c r="AH27" s="100"/>
      <c r="AI27" s="100"/>
      <c r="AJ27" s="100"/>
      <c r="AK27" s="100"/>
      <c r="AL27" s="100"/>
      <c r="AM27" s="104"/>
      <c r="AN27" s="106"/>
      <c r="AO27" s="106"/>
      <c r="AP27" s="106"/>
      <c r="AQ27" s="106"/>
      <c r="AR27" s="106"/>
      <c r="AS27" s="107"/>
      <c r="AT27" s="108"/>
      <c r="AU27" s="107"/>
      <c r="AV27" s="108"/>
    </row>
    <row r="28" spans="4:48" x14ac:dyDescent="0.25">
      <c r="D28" s="34">
        <v>280</v>
      </c>
      <c r="E28" s="35">
        <v>315</v>
      </c>
      <c r="F28" s="18">
        <v>1050</v>
      </c>
      <c r="G28" s="18">
        <v>540</v>
      </c>
      <c r="H28" s="18">
        <v>330</v>
      </c>
      <c r="I28" s="100"/>
      <c r="J28" s="100"/>
      <c r="K28" s="100"/>
      <c r="L28" s="100"/>
      <c r="M28" s="100"/>
      <c r="N28" s="100"/>
      <c r="O28" s="100"/>
      <c r="P28" s="100"/>
      <c r="Q28" s="104"/>
      <c r="R28" s="106"/>
      <c r="S28" s="106"/>
      <c r="T28" s="106"/>
      <c r="U28" s="106"/>
      <c r="V28" s="106"/>
      <c r="W28" s="106"/>
      <c r="X28" s="108"/>
      <c r="Z28" s="34">
        <f t="shared" si="0"/>
        <v>280</v>
      </c>
      <c r="AA28" s="35">
        <v>315</v>
      </c>
      <c r="AB28" s="117"/>
      <c r="AC28" s="117"/>
      <c r="AD28" s="119"/>
      <c r="AE28" s="117"/>
      <c r="AF28" s="40">
        <v>-98</v>
      </c>
      <c r="AG28" s="40">
        <v>-170</v>
      </c>
      <c r="AH28" s="100"/>
      <c r="AI28" s="100"/>
      <c r="AJ28" s="100"/>
      <c r="AK28" s="100"/>
      <c r="AL28" s="100"/>
      <c r="AM28" s="104"/>
      <c r="AN28" s="106"/>
      <c r="AO28" s="106"/>
      <c r="AP28" s="106"/>
      <c r="AQ28" s="106"/>
      <c r="AR28" s="106"/>
      <c r="AS28" s="106"/>
      <c r="AT28" s="108"/>
      <c r="AU28" s="106"/>
      <c r="AV28" s="108"/>
    </row>
    <row r="29" spans="4:48" x14ac:dyDescent="0.25">
      <c r="D29" s="34">
        <v>315</v>
      </c>
      <c r="E29" s="35">
        <v>355</v>
      </c>
      <c r="F29" s="18">
        <v>1200</v>
      </c>
      <c r="G29" s="18">
        <v>600</v>
      </c>
      <c r="H29" s="18">
        <v>360</v>
      </c>
      <c r="I29" s="100"/>
      <c r="J29" s="100">
        <v>210</v>
      </c>
      <c r="K29" s="100">
        <v>125</v>
      </c>
      <c r="L29" s="100"/>
      <c r="M29" s="100">
        <v>62</v>
      </c>
      <c r="N29" s="100"/>
      <c r="O29" s="100">
        <v>18</v>
      </c>
      <c r="P29" s="100">
        <v>0</v>
      </c>
      <c r="Q29" s="104"/>
      <c r="R29" s="106">
        <v>29</v>
      </c>
      <c r="S29" s="106">
        <v>39</v>
      </c>
      <c r="T29" s="106">
        <v>60</v>
      </c>
      <c r="U29" s="106" t="s">
        <v>147</v>
      </c>
      <c r="V29" s="106"/>
      <c r="W29" s="107" t="s">
        <v>159</v>
      </c>
      <c r="X29" s="108">
        <v>-21</v>
      </c>
      <c r="Z29" s="34">
        <f t="shared" si="0"/>
        <v>315</v>
      </c>
      <c r="AA29" s="35">
        <v>255</v>
      </c>
      <c r="AB29" s="116"/>
      <c r="AC29" s="116">
        <v>0</v>
      </c>
      <c r="AD29" s="119"/>
      <c r="AE29" s="116">
        <v>-62</v>
      </c>
      <c r="AF29" s="39">
        <v>-108</v>
      </c>
      <c r="AG29" s="39">
        <v>-190</v>
      </c>
      <c r="AH29" s="100"/>
      <c r="AI29" s="100"/>
      <c r="AJ29" s="100"/>
      <c r="AK29" s="100"/>
      <c r="AL29" s="100"/>
      <c r="AM29" s="104"/>
      <c r="AN29" s="106"/>
      <c r="AO29" s="106"/>
      <c r="AP29" s="106"/>
      <c r="AQ29" s="106"/>
      <c r="AR29" s="106"/>
      <c r="AS29" s="107"/>
      <c r="AT29" s="108"/>
      <c r="AU29" s="107"/>
      <c r="AV29" s="108"/>
    </row>
    <row r="30" spans="4:48" x14ac:dyDescent="0.25">
      <c r="D30" s="34">
        <v>355</v>
      </c>
      <c r="E30" s="35">
        <v>400</v>
      </c>
      <c r="F30" s="18">
        <v>1350</v>
      </c>
      <c r="G30" s="18">
        <v>680</v>
      </c>
      <c r="H30" s="18">
        <v>400</v>
      </c>
      <c r="I30" s="100"/>
      <c r="J30" s="100"/>
      <c r="K30" s="100"/>
      <c r="L30" s="100"/>
      <c r="M30" s="100"/>
      <c r="N30" s="100"/>
      <c r="O30" s="100"/>
      <c r="P30" s="100"/>
      <c r="Q30" s="104"/>
      <c r="R30" s="106"/>
      <c r="S30" s="106"/>
      <c r="T30" s="106"/>
      <c r="U30" s="106"/>
      <c r="V30" s="106"/>
      <c r="W30" s="106"/>
      <c r="X30" s="108"/>
      <c r="Z30" s="34">
        <f t="shared" si="0"/>
        <v>255</v>
      </c>
      <c r="AA30" s="35">
        <v>400</v>
      </c>
      <c r="AB30" s="117"/>
      <c r="AC30" s="117"/>
      <c r="AD30" s="119"/>
      <c r="AE30" s="117"/>
      <c r="AF30" s="40">
        <v>-114</v>
      </c>
      <c r="AG30" s="40">
        <v>-208</v>
      </c>
      <c r="AH30" s="100"/>
      <c r="AI30" s="100"/>
      <c r="AJ30" s="100"/>
      <c r="AK30" s="100"/>
      <c r="AL30" s="100"/>
      <c r="AM30" s="104"/>
      <c r="AN30" s="106"/>
      <c r="AO30" s="106"/>
      <c r="AP30" s="106"/>
      <c r="AQ30" s="106"/>
      <c r="AR30" s="106"/>
      <c r="AS30" s="106"/>
      <c r="AT30" s="108"/>
      <c r="AU30" s="106"/>
      <c r="AV30" s="108"/>
    </row>
    <row r="31" spans="4:48" x14ac:dyDescent="0.25">
      <c r="D31" s="34">
        <v>400</v>
      </c>
      <c r="E31" s="35">
        <v>450</v>
      </c>
      <c r="F31" s="18">
        <v>1500</v>
      </c>
      <c r="G31" s="18">
        <v>760</v>
      </c>
      <c r="H31" s="18">
        <v>440</v>
      </c>
      <c r="I31" s="100"/>
      <c r="J31" s="100">
        <v>230</v>
      </c>
      <c r="K31" s="100">
        <v>135</v>
      </c>
      <c r="L31" s="100"/>
      <c r="M31" s="100">
        <v>68</v>
      </c>
      <c r="N31" s="100"/>
      <c r="O31" s="100">
        <v>20</v>
      </c>
      <c r="P31" s="100">
        <v>0</v>
      </c>
      <c r="Q31" s="104"/>
      <c r="R31" s="106">
        <v>33</v>
      </c>
      <c r="S31" s="106">
        <v>43</v>
      </c>
      <c r="T31" s="106">
        <v>66</v>
      </c>
      <c r="U31" s="107" t="s">
        <v>148</v>
      </c>
      <c r="V31" s="106"/>
      <c r="W31" s="107" t="s">
        <v>160</v>
      </c>
      <c r="X31" s="108">
        <v>-23</v>
      </c>
      <c r="Z31" s="34">
        <f t="shared" si="0"/>
        <v>400</v>
      </c>
      <c r="AA31" s="35">
        <v>450</v>
      </c>
      <c r="AB31" s="116"/>
      <c r="AC31" s="116">
        <v>0</v>
      </c>
      <c r="AD31" s="119"/>
      <c r="AE31" s="116">
        <v>-68</v>
      </c>
      <c r="AF31" s="39">
        <v>-126</v>
      </c>
      <c r="AG31" s="39">
        <v>-232</v>
      </c>
      <c r="AH31" s="100"/>
      <c r="AI31" s="100"/>
      <c r="AJ31" s="100"/>
      <c r="AK31" s="100"/>
      <c r="AL31" s="100"/>
      <c r="AM31" s="104"/>
      <c r="AN31" s="106"/>
      <c r="AO31" s="106"/>
      <c r="AP31" s="106"/>
      <c r="AQ31" s="107"/>
      <c r="AR31" s="106"/>
      <c r="AS31" s="107"/>
      <c r="AT31" s="108"/>
      <c r="AU31" s="107"/>
      <c r="AV31" s="108"/>
    </row>
    <row r="32" spans="4:48" x14ac:dyDescent="0.25">
      <c r="D32" s="34">
        <v>450</v>
      </c>
      <c r="E32" s="35">
        <v>500</v>
      </c>
      <c r="F32" s="18">
        <v>1650</v>
      </c>
      <c r="G32" s="18">
        <v>840</v>
      </c>
      <c r="H32" s="18">
        <v>480</v>
      </c>
      <c r="I32" s="100"/>
      <c r="J32" s="100"/>
      <c r="K32" s="100"/>
      <c r="L32" s="100"/>
      <c r="M32" s="100"/>
      <c r="N32" s="100"/>
      <c r="O32" s="100"/>
      <c r="P32" s="100"/>
      <c r="Q32" s="104"/>
      <c r="R32" s="106"/>
      <c r="S32" s="106"/>
      <c r="T32" s="106"/>
      <c r="U32" s="106"/>
      <c r="V32" s="106"/>
      <c r="W32" s="106"/>
      <c r="X32" s="108"/>
      <c r="Z32" s="34">
        <f t="shared" si="0"/>
        <v>450</v>
      </c>
      <c r="AA32" s="35">
        <v>500</v>
      </c>
      <c r="AB32" s="117"/>
      <c r="AC32" s="117"/>
      <c r="AD32" s="119"/>
      <c r="AE32" s="117"/>
      <c r="AF32" s="40">
        <v>-132</v>
      </c>
      <c r="AG32" s="40">
        <v>-252</v>
      </c>
      <c r="AH32" s="100"/>
      <c r="AI32" s="100"/>
      <c r="AJ32" s="100"/>
      <c r="AK32" s="100"/>
      <c r="AL32" s="100"/>
      <c r="AM32" s="104"/>
      <c r="AN32" s="106"/>
      <c r="AO32" s="106"/>
      <c r="AP32" s="106"/>
      <c r="AQ32" s="106"/>
      <c r="AR32" s="106"/>
      <c r="AS32" s="106"/>
      <c r="AT32" s="108"/>
      <c r="AU32" s="106"/>
      <c r="AV32" s="108"/>
    </row>
    <row r="33" spans="4:48" x14ac:dyDescent="0.25">
      <c r="D33" s="34">
        <v>500</v>
      </c>
      <c r="E33" s="35">
        <v>560</v>
      </c>
      <c r="F33" s="100"/>
      <c r="G33" s="100"/>
      <c r="H33" s="100"/>
      <c r="I33" s="100"/>
      <c r="J33" s="100">
        <v>260</v>
      </c>
      <c r="K33" s="100">
        <v>145</v>
      </c>
      <c r="L33" s="100"/>
      <c r="M33" s="100">
        <v>76</v>
      </c>
      <c r="N33" s="100"/>
      <c r="O33" s="100">
        <v>22</v>
      </c>
      <c r="P33" s="100">
        <v>0</v>
      </c>
      <c r="Q33" s="104"/>
      <c r="R33" s="106"/>
      <c r="S33" s="106"/>
      <c r="T33" s="106"/>
      <c r="U33" s="106">
        <v>0</v>
      </c>
      <c r="V33" s="106"/>
      <c r="W33" s="109">
        <v>-26</v>
      </c>
      <c r="X33" s="110"/>
      <c r="Z33" s="34">
        <f t="shared" si="0"/>
        <v>500</v>
      </c>
      <c r="AA33" s="35">
        <v>560</v>
      </c>
      <c r="AB33" s="116"/>
      <c r="AC33" s="116">
        <v>0</v>
      </c>
      <c r="AD33" s="119"/>
      <c r="AE33" s="116">
        <v>-78</v>
      </c>
      <c r="AF33" s="39">
        <v>-150</v>
      </c>
      <c r="AG33" s="39">
        <v>-280</v>
      </c>
      <c r="AH33" s="100"/>
      <c r="AI33" s="100"/>
      <c r="AJ33" s="100"/>
      <c r="AK33" s="100"/>
      <c r="AL33" s="100"/>
      <c r="AM33" s="104"/>
      <c r="AN33" s="106"/>
      <c r="AO33" s="106"/>
      <c r="AP33" s="106"/>
      <c r="AQ33" s="106"/>
      <c r="AR33" s="106"/>
      <c r="AS33" s="109"/>
      <c r="AT33" s="110"/>
      <c r="AU33" s="109"/>
      <c r="AV33" s="110"/>
    </row>
    <row r="34" spans="4:48" x14ac:dyDescent="0.25">
      <c r="D34" s="34">
        <v>560</v>
      </c>
      <c r="E34" s="35">
        <v>630</v>
      </c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4"/>
      <c r="R34" s="106"/>
      <c r="S34" s="106"/>
      <c r="T34" s="106"/>
      <c r="U34" s="106"/>
      <c r="V34" s="106"/>
      <c r="W34" s="111"/>
      <c r="X34" s="112"/>
      <c r="Z34" s="34">
        <f t="shared" si="0"/>
        <v>560</v>
      </c>
      <c r="AA34" s="35">
        <v>630</v>
      </c>
      <c r="AB34" s="117"/>
      <c r="AC34" s="117"/>
      <c r="AD34" s="120"/>
      <c r="AE34" s="117"/>
      <c r="AF34" s="40">
        <v>-155</v>
      </c>
      <c r="AG34" s="40">
        <v>-310</v>
      </c>
      <c r="AH34" s="100"/>
      <c r="AI34" s="100"/>
      <c r="AJ34" s="100"/>
      <c r="AK34" s="100"/>
      <c r="AL34" s="100"/>
      <c r="AM34" s="104"/>
      <c r="AN34" s="106"/>
      <c r="AO34" s="106"/>
      <c r="AP34" s="106"/>
      <c r="AQ34" s="106"/>
      <c r="AR34" s="106"/>
      <c r="AS34" s="111"/>
      <c r="AT34" s="112"/>
      <c r="AU34" s="111"/>
      <c r="AV34" s="112"/>
    </row>
    <row r="35" spans="4:48" x14ac:dyDescent="0.25">
      <c r="D35" s="34">
        <v>630</v>
      </c>
      <c r="E35" s="35">
        <v>710</v>
      </c>
      <c r="F35" s="100"/>
      <c r="G35" s="100"/>
      <c r="H35" s="100"/>
      <c r="I35" s="100"/>
      <c r="J35" s="100">
        <v>290</v>
      </c>
      <c r="K35" s="100">
        <v>160</v>
      </c>
      <c r="L35" s="100"/>
      <c r="M35" s="100">
        <v>80</v>
      </c>
      <c r="N35" s="100"/>
      <c r="O35" s="100">
        <v>24</v>
      </c>
      <c r="P35" s="100">
        <v>0</v>
      </c>
      <c r="Q35" s="104"/>
      <c r="R35" s="106"/>
      <c r="S35" s="106"/>
      <c r="T35" s="106"/>
      <c r="U35" s="106">
        <v>0</v>
      </c>
      <c r="V35" s="106"/>
      <c r="W35" s="109">
        <v>-30</v>
      </c>
      <c r="X35" s="110"/>
      <c r="Z35" s="34">
        <v>630</v>
      </c>
      <c r="AA35" s="35">
        <v>710</v>
      </c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4"/>
      <c r="AN35" s="106"/>
      <c r="AO35" s="106"/>
      <c r="AP35" s="106"/>
      <c r="AQ35" s="106"/>
      <c r="AR35" s="106"/>
      <c r="AS35" s="109"/>
      <c r="AT35" s="110"/>
      <c r="AU35" s="109"/>
      <c r="AV35" s="110"/>
    </row>
    <row r="36" spans="4:48" x14ac:dyDescent="0.25">
      <c r="D36" s="34">
        <v>710</v>
      </c>
      <c r="E36" s="35">
        <v>800</v>
      </c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4"/>
      <c r="R36" s="106"/>
      <c r="S36" s="106"/>
      <c r="T36" s="106"/>
      <c r="U36" s="106"/>
      <c r="V36" s="106"/>
      <c r="W36" s="111"/>
      <c r="X36" s="112"/>
      <c r="Z36" s="34">
        <v>710</v>
      </c>
      <c r="AA36" s="35">
        <v>800</v>
      </c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4"/>
      <c r="AN36" s="106"/>
      <c r="AO36" s="106"/>
      <c r="AP36" s="106"/>
      <c r="AQ36" s="106"/>
      <c r="AR36" s="106"/>
      <c r="AS36" s="111"/>
      <c r="AT36" s="112"/>
      <c r="AU36" s="111"/>
      <c r="AV36" s="112"/>
    </row>
    <row r="37" spans="4:48" x14ac:dyDescent="0.25">
      <c r="D37" s="34">
        <v>800</v>
      </c>
      <c r="E37" s="35">
        <v>900</v>
      </c>
      <c r="F37" s="100"/>
      <c r="G37" s="100"/>
      <c r="H37" s="100"/>
      <c r="I37" s="100"/>
      <c r="J37" s="100">
        <v>320</v>
      </c>
      <c r="K37" s="100">
        <v>170</v>
      </c>
      <c r="L37" s="100"/>
      <c r="M37" s="100">
        <v>86</v>
      </c>
      <c r="N37" s="100"/>
      <c r="O37" s="100">
        <v>26</v>
      </c>
      <c r="P37" s="100">
        <v>0</v>
      </c>
      <c r="Q37" s="104"/>
      <c r="R37" s="106"/>
      <c r="S37" s="106"/>
      <c r="T37" s="106"/>
      <c r="U37" s="106">
        <v>0</v>
      </c>
      <c r="V37" s="106"/>
      <c r="W37" s="109">
        <v>-34</v>
      </c>
      <c r="X37" s="110"/>
      <c r="Z37" s="34">
        <v>800</v>
      </c>
      <c r="AA37" s="35">
        <v>900</v>
      </c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4"/>
      <c r="AN37" s="106"/>
      <c r="AO37" s="106"/>
      <c r="AP37" s="106"/>
      <c r="AQ37" s="106"/>
      <c r="AR37" s="106"/>
      <c r="AS37" s="109"/>
      <c r="AT37" s="110"/>
      <c r="AU37" s="109"/>
      <c r="AV37" s="110"/>
    </row>
    <row r="38" spans="4:48" x14ac:dyDescent="0.25">
      <c r="D38" s="34">
        <v>900</v>
      </c>
      <c r="E38" s="35">
        <v>1000</v>
      </c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4"/>
      <c r="R38" s="106"/>
      <c r="S38" s="106"/>
      <c r="T38" s="106"/>
      <c r="U38" s="106"/>
      <c r="V38" s="106"/>
      <c r="W38" s="111"/>
      <c r="X38" s="112"/>
      <c r="Z38" s="34">
        <v>900</v>
      </c>
      <c r="AA38" s="35">
        <v>1000</v>
      </c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0"/>
      <c r="AM38" s="104"/>
      <c r="AN38" s="106"/>
      <c r="AO38" s="106"/>
      <c r="AP38" s="106"/>
      <c r="AQ38" s="106"/>
      <c r="AR38" s="106"/>
      <c r="AS38" s="111"/>
      <c r="AT38" s="112"/>
      <c r="AU38" s="111"/>
      <c r="AV38" s="112"/>
    </row>
    <row r="39" spans="4:48" x14ac:dyDescent="0.25">
      <c r="D39" s="34">
        <v>1000</v>
      </c>
      <c r="E39" s="35">
        <v>1120</v>
      </c>
      <c r="F39" s="100"/>
      <c r="G39" s="100"/>
      <c r="H39" s="100"/>
      <c r="I39" s="100"/>
      <c r="J39" s="100">
        <v>350</v>
      </c>
      <c r="K39" s="100">
        <v>195</v>
      </c>
      <c r="L39" s="100"/>
      <c r="M39" s="100">
        <v>98</v>
      </c>
      <c r="N39" s="100"/>
      <c r="O39" s="100">
        <v>28</v>
      </c>
      <c r="P39" s="100">
        <v>0</v>
      </c>
      <c r="Q39" s="104"/>
      <c r="R39" s="106"/>
      <c r="S39" s="106"/>
      <c r="T39" s="106"/>
      <c r="U39" s="106">
        <v>0</v>
      </c>
      <c r="V39" s="106"/>
      <c r="W39" s="109">
        <v>-40</v>
      </c>
      <c r="X39" s="110"/>
      <c r="Z39" s="34">
        <v>1000</v>
      </c>
      <c r="AA39" s="35">
        <v>1120</v>
      </c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0"/>
      <c r="AM39" s="104"/>
      <c r="AN39" s="106"/>
      <c r="AO39" s="106"/>
      <c r="AP39" s="106"/>
      <c r="AQ39" s="106"/>
      <c r="AR39" s="106"/>
      <c r="AS39" s="109"/>
      <c r="AT39" s="110"/>
      <c r="AU39" s="109"/>
      <c r="AV39" s="110"/>
    </row>
    <row r="40" spans="4:48" x14ac:dyDescent="0.25">
      <c r="D40" s="34">
        <v>1120</v>
      </c>
      <c r="E40" s="35">
        <v>1250</v>
      </c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4"/>
      <c r="R40" s="106"/>
      <c r="S40" s="106"/>
      <c r="T40" s="106"/>
      <c r="U40" s="106"/>
      <c r="V40" s="106"/>
      <c r="W40" s="111"/>
      <c r="X40" s="112"/>
      <c r="Z40" s="34">
        <v>1120</v>
      </c>
      <c r="AA40" s="35">
        <v>1250</v>
      </c>
      <c r="AB40" s="100"/>
      <c r="AC40" s="100"/>
      <c r="AD40" s="100"/>
      <c r="AE40" s="100"/>
      <c r="AF40" s="100"/>
      <c r="AG40" s="100"/>
      <c r="AH40" s="100"/>
      <c r="AI40" s="100"/>
      <c r="AJ40" s="100"/>
      <c r="AK40" s="100"/>
      <c r="AL40" s="100"/>
      <c r="AM40" s="104"/>
      <c r="AN40" s="106"/>
      <c r="AO40" s="106"/>
      <c r="AP40" s="106"/>
      <c r="AQ40" s="106"/>
      <c r="AR40" s="106"/>
      <c r="AS40" s="111"/>
      <c r="AT40" s="112"/>
      <c r="AU40" s="111"/>
      <c r="AV40" s="112"/>
    </row>
    <row r="41" spans="4:48" x14ac:dyDescent="0.25">
      <c r="D41" s="34">
        <v>1250</v>
      </c>
      <c r="E41" s="35">
        <v>1400</v>
      </c>
      <c r="F41" s="100"/>
      <c r="G41" s="100"/>
      <c r="H41" s="100"/>
      <c r="I41" s="100"/>
      <c r="J41" s="100">
        <v>390</v>
      </c>
      <c r="K41" s="100">
        <v>220</v>
      </c>
      <c r="L41" s="100"/>
      <c r="M41" s="100">
        <v>110</v>
      </c>
      <c r="N41" s="100"/>
      <c r="O41" s="100">
        <v>30</v>
      </c>
      <c r="P41" s="100">
        <v>0</v>
      </c>
      <c r="Q41" s="104"/>
      <c r="R41" s="106"/>
      <c r="S41" s="106"/>
      <c r="T41" s="106"/>
      <c r="U41" s="106">
        <v>0</v>
      </c>
      <c r="V41" s="106"/>
      <c r="W41" s="109">
        <v>-48</v>
      </c>
      <c r="X41" s="110"/>
      <c r="Z41" s="34">
        <v>1250</v>
      </c>
      <c r="AA41" s="35">
        <v>1400</v>
      </c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4"/>
      <c r="AN41" s="106"/>
      <c r="AO41" s="106"/>
      <c r="AP41" s="106"/>
      <c r="AQ41" s="106"/>
      <c r="AR41" s="106"/>
      <c r="AS41" s="109"/>
      <c r="AT41" s="110"/>
      <c r="AU41" s="109"/>
      <c r="AV41" s="110"/>
    </row>
    <row r="42" spans="4:48" x14ac:dyDescent="0.25">
      <c r="D42" s="34">
        <v>1400</v>
      </c>
      <c r="E42" s="35">
        <v>1600</v>
      </c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4"/>
      <c r="R42" s="106"/>
      <c r="S42" s="106"/>
      <c r="T42" s="106"/>
      <c r="U42" s="106"/>
      <c r="V42" s="106"/>
      <c r="W42" s="111"/>
      <c r="X42" s="112"/>
      <c r="Z42" s="34">
        <v>1400</v>
      </c>
      <c r="AA42" s="35">
        <v>1600</v>
      </c>
      <c r="AB42" s="100"/>
      <c r="AC42" s="100"/>
      <c r="AD42" s="100"/>
      <c r="AE42" s="100"/>
      <c r="AF42" s="100"/>
      <c r="AG42" s="100"/>
      <c r="AH42" s="100"/>
      <c r="AI42" s="100"/>
      <c r="AJ42" s="100"/>
      <c r="AK42" s="100"/>
      <c r="AL42" s="100"/>
      <c r="AM42" s="104"/>
      <c r="AN42" s="106"/>
      <c r="AO42" s="106"/>
      <c r="AP42" s="106"/>
      <c r="AQ42" s="106"/>
      <c r="AR42" s="106"/>
      <c r="AS42" s="111"/>
      <c r="AT42" s="112"/>
      <c r="AU42" s="111"/>
      <c r="AV42" s="112"/>
    </row>
    <row r="43" spans="4:48" x14ac:dyDescent="0.25">
      <c r="D43" s="34">
        <v>1600</v>
      </c>
      <c r="E43" s="35">
        <v>1800</v>
      </c>
      <c r="F43" s="100"/>
      <c r="G43" s="100"/>
      <c r="H43" s="100"/>
      <c r="I43" s="100"/>
      <c r="J43" s="100">
        <v>430</v>
      </c>
      <c r="K43" s="100">
        <v>240</v>
      </c>
      <c r="L43" s="100"/>
      <c r="M43" s="100">
        <v>120</v>
      </c>
      <c r="N43" s="100"/>
      <c r="O43" s="100">
        <v>32</v>
      </c>
      <c r="P43" s="100">
        <v>0</v>
      </c>
      <c r="Q43" s="104"/>
      <c r="R43" s="106"/>
      <c r="S43" s="106"/>
      <c r="T43" s="106"/>
      <c r="U43" s="106">
        <v>0</v>
      </c>
      <c r="V43" s="106"/>
      <c r="W43" s="109">
        <v>-58</v>
      </c>
      <c r="X43" s="110"/>
      <c r="Z43" s="34">
        <v>1600</v>
      </c>
      <c r="AA43" s="35">
        <v>1800</v>
      </c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4"/>
      <c r="AN43" s="106"/>
      <c r="AO43" s="106"/>
      <c r="AP43" s="106"/>
      <c r="AQ43" s="106"/>
      <c r="AR43" s="106"/>
      <c r="AS43" s="109"/>
      <c r="AT43" s="110"/>
      <c r="AU43" s="109"/>
      <c r="AV43" s="110"/>
    </row>
    <row r="44" spans="4:48" x14ac:dyDescent="0.25">
      <c r="D44" s="34">
        <v>1800</v>
      </c>
      <c r="E44" s="35">
        <v>2000</v>
      </c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4"/>
      <c r="R44" s="106"/>
      <c r="S44" s="106"/>
      <c r="T44" s="106"/>
      <c r="U44" s="106"/>
      <c r="V44" s="106"/>
      <c r="W44" s="111"/>
      <c r="X44" s="112"/>
      <c r="Z44" s="34">
        <v>1800</v>
      </c>
      <c r="AA44" s="35">
        <v>2000</v>
      </c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4"/>
      <c r="AN44" s="106"/>
      <c r="AO44" s="106"/>
      <c r="AP44" s="106"/>
      <c r="AQ44" s="106"/>
      <c r="AR44" s="106"/>
      <c r="AS44" s="111"/>
      <c r="AT44" s="112"/>
      <c r="AU44" s="111"/>
      <c r="AV44" s="112"/>
    </row>
    <row r="45" spans="4:48" x14ac:dyDescent="0.25">
      <c r="D45" s="34">
        <v>2000</v>
      </c>
      <c r="E45" s="35">
        <v>2240</v>
      </c>
      <c r="F45" s="100"/>
      <c r="G45" s="100"/>
      <c r="H45" s="100"/>
      <c r="I45" s="100"/>
      <c r="J45" s="100">
        <v>480</v>
      </c>
      <c r="K45" s="100">
        <v>260</v>
      </c>
      <c r="L45" s="100"/>
      <c r="M45" s="100">
        <v>130</v>
      </c>
      <c r="N45" s="100"/>
      <c r="O45" s="100">
        <v>34</v>
      </c>
      <c r="P45" s="100">
        <v>0</v>
      </c>
      <c r="Q45" s="104"/>
      <c r="R45" s="106"/>
      <c r="S45" s="106"/>
      <c r="T45" s="106"/>
      <c r="U45" s="106">
        <v>0</v>
      </c>
      <c r="V45" s="106"/>
      <c r="W45" s="109">
        <v>-68</v>
      </c>
      <c r="X45" s="110"/>
      <c r="Z45" s="34">
        <v>2000</v>
      </c>
      <c r="AA45" s="35">
        <v>2240</v>
      </c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4"/>
      <c r="AN45" s="106"/>
      <c r="AO45" s="106"/>
      <c r="AP45" s="106"/>
      <c r="AQ45" s="106"/>
      <c r="AR45" s="106"/>
      <c r="AS45" s="109"/>
      <c r="AT45" s="110"/>
      <c r="AU45" s="109"/>
      <c r="AV45" s="110"/>
    </row>
    <row r="46" spans="4:48" x14ac:dyDescent="0.25">
      <c r="D46" s="34">
        <v>2240</v>
      </c>
      <c r="E46" s="35">
        <v>2500</v>
      </c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4"/>
      <c r="R46" s="106"/>
      <c r="S46" s="106"/>
      <c r="T46" s="106"/>
      <c r="U46" s="106"/>
      <c r="V46" s="106"/>
      <c r="W46" s="111"/>
      <c r="X46" s="112"/>
      <c r="Z46" s="34">
        <v>2240</v>
      </c>
      <c r="AA46" s="35">
        <v>2500</v>
      </c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4"/>
      <c r="AN46" s="106"/>
      <c r="AO46" s="106"/>
      <c r="AP46" s="106"/>
      <c r="AQ46" s="106"/>
      <c r="AR46" s="106"/>
      <c r="AS46" s="111"/>
      <c r="AT46" s="112"/>
      <c r="AU46" s="111"/>
      <c r="AV46" s="112"/>
    </row>
    <row r="47" spans="4:48" x14ac:dyDescent="0.25">
      <c r="D47" s="34">
        <v>2500</v>
      </c>
      <c r="E47" s="35">
        <v>2800</v>
      </c>
      <c r="F47" s="100"/>
      <c r="G47" s="100"/>
      <c r="H47" s="100"/>
      <c r="I47" s="100"/>
      <c r="J47" s="100">
        <v>520</v>
      </c>
      <c r="K47" s="100">
        <v>290</v>
      </c>
      <c r="L47" s="100"/>
      <c r="M47" s="100">
        <v>145</v>
      </c>
      <c r="N47" s="100"/>
      <c r="O47" s="100">
        <v>38</v>
      </c>
      <c r="P47" s="100">
        <v>0</v>
      </c>
      <c r="Q47" s="104"/>
      <c r="R47" s="106"/>
      <c r="S47" s="106"/>
      <c r="T47" s="106"/>
      <c r="U47" s="106">
        <v>0</v>
      </c>
      <c r="V47" s="106"/>
      <c r="W47" s="109">
        <v>-76</v>
      </c>
      <c r="X47" s="110"/>
      <c r="Z47" s="34">
        <v>2500</v>
      </c>
      <c r="AA47" s="35">
        <v>2800</v>
      </c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4"/>
      <c r="AN47" s="106"/>
      <c r="AO47" s="106"/>
      <c r="AP47" s="106"/>
      <c r="AQ47" s="106"/>
      <c r="AR47" s="106"/>
      <c r="AS47" s="109"/>
      <c r="AT47" s="110"/>
      <c r="AU47" s="109"/>
      <c r="AV47" s="110"/>
    </row>
    <row r="48" spans="4:48" ht="15.75" thickBot="1" x14ac:dyDescent="0.3">
      <c r="D48" s="37">
        <v>2800</v>
      </c>
      <c r="E48" s="38">
        <v>3150</v>
      </c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5"/>
      <c r="R48" s="115"/>
      <c r="S48" s="115"/>
      <c r="T48" s="115"/>
      <c r="U48" s="115"/>
      <c r="V48" s="115"/>
      <c r="W48" s="113"/>
      <c r="X48" s="114"/>
      <c r="Z48" s="37">
        <v>2800</v>
      </c>
      <c r="AA48" s="38">
        <v>3150</v>
      </c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5"/>
      <c r="AN48" s="115"/>
      <c r="AO48" s="115"/>
      <c r="AP48" s="115"/>
      <c r="AQ48" s="115"/>
      <c r="AR48" s="115"/>
      <c r="AS48" s="113"/>
      <c r="AT48" s="114"/>
      <c r="AU48" s="113"/>
      <c r="AV48" s="114"/>
    </row>
    <row r="49" spans="9:9" x14ac:dyDescent="0.25">
      <c r="I49" s="1"/>
    </row>
  </sheetData>
  <mergeCells count="622">
    <mergeCell ref="AC11:AC12"/>
    <mergeCell ref="AE11:AE12"/>
    <mergeCell ref="AU39:AV40"/>
    <mergeCell ref="AU41:AV42"/>
    <mergeCell ref="AU43:AV44"/>
    <mergeCell ref="AU45:AV46"/>
    <mergeCell ref="AU47:AV48"/>
    <mergeCell ref="AB7:AC7"/>
    <mergeCell ref="AB15:AB16"/>
    <mergeCell ref="AB17:AB18"/>
    <mergeCell ref="AB19:AB21"/>
    <mergeCell ref="AV27:AV28"/>
    <mergeCell ref="AV29:AV30"/>
    <mergeCell ref="AV31:AV32"/>
    <mergeCell ref="AU33:AV34"/>
    <mergeCell ref="AU35:AV36"/>
    <mergeCell ref="AU37:AV38"/>
    <mergeCell ref="AB47:AB48"/>
    <mergeCell ref="AN47:AN48"/>
    <mergeCell ref="AS47:AT48"/>
    <mergeCell ref="AV11:AV12"/>
    <mergeCell ref="AV13:AV14"/>
    <mergeCell ref="AV15:AV16"/>
    <mergeCell ref="AV17:AV18"/>
    <mergeCell ref="AV19:AV20"/>
    <mergeCell ref="AV21:AV23"/>
    <mergeCell ref="AV24:AV26"/>
    <mergeCell ref="AB43:AB44"/>
    <mergeCell ref="AN43:AN44"/>
    <mergeCell ref="AS43:AT44"/>
    <mergeCell ref="AB45:AB46"/>
    <mergeCell ref="AN45:AN46"/>
    <mergeCell ref="AS45:AT46"/>
    <mergeCell ref="AB39:AB40"/>
    <mergeCell ref="AN39:AN40"/>
    <mergeCell ref="AS39:AT40"/>
    <mergeCell ref="AB41:AB42"/>
    <mergeCell ref="AN41:AN42"/>
    <mergeCell ref="AS41:AT42"/>
    <mergeCell ref="AB35:AB36"/>
    <mergeCell ref="AN35:AN36"/>
    <mergeCell ref="AS35:AT36"/>
    <mergeCell ref="AB37:AB38"/>
    <mergeCell ref="AN37:AN38"/>
    <mergeCell ref="AS37:AT38"/>
    <mergeCell ref="AE29:AE30"/>
    <mergeCell ref="AN29:AN30"/>
    <mergeCell ref="AN31:AN32"/>
    <mergeCell ref="AB33:AB34"/>
    <mergeCell ref="AN33:AN34"/>
    <mergeCell ref="AO47:AO48"/>
    <mergeCell ref="AP47:AP48"/>
    <mergeCell ref="AQ47:AQ48"/>
    <mergeCell ref="AR47:AR48"/>
    <mergeCell ref="AT21:AT23"/>
    <mergeCell ref="AS19:AS20"/>
    <mergeCell ref="AT19:AT20"/>
    <mergeCell ref="AN21:AN23"/>
    <mergeCell ref="AN24:AN26"/>
    <mergeCell ref="AN27:AN28"/>
    <mergeCell ref="AT31:AT32"/>
    <mergeCell ref="AO21:AO23"/>
    <mergeCell ref="AP21:AP23"/>
    <mergeCell ref="AQ21:AQ23"/>
    <mergeCell ref="AR21:AR23"/>
    <mergeCell ref="AO24:AO26"/>
    <mergeCell ref="AP24:AP26"/>
    <mergeCell ref="AQ24:AQ26"/>
    <mergeCell ref="AR24:AR26"/>
    <mergeCell ref="AJ21:AJ23"/>
    <mergeCell ref="AK21:AK23"/>
    <mergeCell ref="AL21:AL23"/>
    <mergeCell ref="AE13:AE14"/>
    <mergeCell ref="AE15:AE16"/>
    <mergeCell ref="AE17:AE18"/>
    <mergeCell ref="AE19:AE21"/>
    <mergeCell ref="AE22:AE24"/>
    <mergeCell ref="AE25:AE26"/>
    <mergeCell ref="AB29:AB30"/>
    <mergeCell ref="AC29:AC30"/>
    <mergeCell ref="AB31:AB32"/>
    <mergeCell ref="AE27:AE28"/>
    <mergeCell ref="Z6:AA6"/>
    <mergeCell ref="AM8:AM48"/>
    <mergeCell ref="AB11:AB12"/>
    <mergeCell ref="AN11:AN12"/>
    <mergeCell ref="AB13:AB14"/>
    <mergeCell ref="AN13:AN14"/>
    <mergeCell ref="AC15:AC16"/>
    <mergeCell ref="AC17:AC18"/>
    <mergeCell ref="AD8:AD34"/>
    <mergeCell ref="AC19:AC21"/>
    <mergeCell ref="AB22:AB24"/>
    <mergeCell ref="AC22:AC24"/>
    <mergeCell ref="AB25:AB26"/>
    <mergeCell ref="AC25:AC26"/>
    <mergeCell ref="AB27:AB28"/>
    <mergeCell ref="AC27:AC28"/>
    <mergeCell ref="AC13:AC14"/>
    <mergeCell ref="AH24:AH26"/>
    <mergeCell ref="AI24:AI26"/>
    <mergeCell ref="AJ24:AJ26"/>
    <mergeCell ref="AK24:AK26"/>
    <mergeCell ref="AL24:AL26"/>
    <mergeCell ref="AH21:AH23"/>
    <mergeCell ref="AI21:AI23"/>
    <mergeCell ref="AU31:AU32"/>
    <mergeCell ref="AC47:AC48"/>
    <mergeCell ref="AD47:AD48"/>
    <mergeCell ref="AE47:AE48"/>
    <mergeCell ref="AF47:AF48"/>
    <mergeCell ref="AG47:AG48"/>
    <mergeCell ref="AH47:AH48"/>
    <mergeCell ref="AI47:AI48"/>
    <mergeCell ref="AJ47:AJ48"/>
    <mergeCell ref="AK47:AK48"/>
    <mergeCell ref="AL47:AL48"/>
    <mergeCell ref="AC45:AC46"/>
    <mergeCell ref="AD45:AD46"/>
    <mergeCell ref="AE45:AE46"/>
    <mergeCell ref="AF45:AF46"/>
    <mergeCell ref="AG45:AG46"/>
    <mergeCell ref="AC43:AC44"/>
    <mergeCell ref="AD43:AD44"/>
    <mergeCell ref="AE43:AE44"/>
    <mergeCell ref="AF43:AF44"/>
    <mergeCell ref="AG43:AG44"/>
    <mergeCell ref="AH41:AH42"/>
    <mergeCell ref="AS33:AT34"/>
    <mergeCell ref="AR43:AR44"/>
    <mergeCell ref="AJ19:AJ20"/>
    <mergeCell ref="AK19:AK20"/>
    <mergeCell ref="AL19:AL20"/>
    <mergeCell ref="AO19:AO20"/>
    <mergeCell ref="AN19:AN20"/>
    <mergeCell ref="AH19:AH20"/>
    <mergeCell ref="AI19:AI20"/>
    <mergeCell ref="AP43:AP44"/>
    <mergeCell ref="AQ43:AQ44"/>
    <mergeCell ref="AI43:AI44"/>
    <mergeCell ref="AJ43:AJ44"/>
    <mergeCell ref="AK43:AK44"/>
    <mergeCell ref="AL43:AL44"/>
    <mergeCell ref="AO43:AO44"/>
    <mergeCell ref="AH43:AH44"/>
    <mergeCell ref="AQ39:AQ40"/>
    <mergeCell ref="AI37:AI38"/>
    <mergeCell ref="AJ37:AJ38"/>
    <mergeCell ref="AK37:AK38"/>
    <mergeCell ref="AL37:AL38"/>
    <mergeCell ref="AL41:AL42"/>
    <mergeCell ref="AP39:AP40"/>
    <mergeCell ref="AP35:AP36"/>
    <mergeCell ref="AQ35:AQ36"/>
    <mergeCell ref="AO45:AO46"/>
    <mergeCell ref="AP45:AP46"/>
    <mergeCell ref="AQ45:AQ46"/>
    <mergeCell ref="AR45:AR46"/>
    <mergeCell ref="AH45:AH46"/>
    <mergeCell ref="AI45:AI46"/>
    <mergeCell ref="AJ45:AJ46"/>
    <mergeCell ref="AK45:AK46"/>
    <mergeCell ref="AL45:AL46"/>
    <mergeCell ref="AR39:AR40"/>
    <mergeCell ref="AC41:AC42"/>
    <mergeCell ref="AD41:AD42"/>
    <mergeCell ref="AE41:AE42"/>
    <mergeCell ref="AF41:AF42"/>
    <mergeCell ref="AG41:AG42"/>
    <mergeCell ref="AI39:AI40"/>
    <mergeCell ref="AJ39:AJ40"/>
    <mergeCell ref="AK39:AK40"/>
    <mergeCell ref="AL39:AL40"/>
    <mergeCell ref="AO39:AO40"/>
    <mergeCell ref="AC39:AC40"/>
    <mergeCell ref="AD39:AD40"/>
    <mergeCell ref="AE39:AE40"/>
    <mergeCell ref="AF39:AF40"/>
    <mergeCell ref="AG39:AG40"/>
    <mergeCell ref="AH39:AH40"/>
    <mergeCell ref="AO41:AO42"/>
    <mergeCell ref="AP41:AP42"/>
    <mergeCell ref="AQ41:AQ42"/>
    <mergeCell ref="AR41:AR42"/>
    <mergeCell ref="AI41:AI42"/>
    <mergeCell ref="AJ41:AJ42"/>
    <mergeCell ref="AK41:AK42"/>
    <mergeCell ref="AR35:AR36"/>
    <mergeCell ref="AC37:AC38"/>
    <mergeCell ref="AD37:AD38"/>
    <mergeCell ref="AE37:AE38"/>
    <mergeCell ref="AF37:AF38"/>
    <mergeCell ref="AG37:AG38"/>
    <mergeCell ref="AI35:AI36"/>
    <mergeCell ref="AJ35:AJ36"/>
    <mergeCell ref="AK35:AK36"/>
    <mergeCell ref="AL35:AL36"/>
    <mergeCell ref="AO35:AO36"/>
    <mergeCell ref="AC35:AC36"/>
    <mergeCell ref="AD35:AD36"/>
    <mergeCell ref="AE35:AE36"/>
    <mergeCell ref="AF35:AF36"/>
    <mergeCell ref="AG35:AG36"/>
    <mergeCell ref="AH35:AH36"/>
    <mergeCell ref="AO37:AO38"/>
    <mergeCell ref="AP37:AP38"/>
    <mergeCell ref="AQ37:AQ38"/>
    <mergeCell ref="AR37:AR38"/>
    <mergeCell ref="AH37:AH38"/>
    <mergeCell ref="AP31:AP32"/>
    <mergeCell ref="AQ31:AQ32"/>
    <mergeCell ref="AR31:AR32"/>
    <mergeCell ref="AS31:AS32"/>
    <mergeCell ref="AC33:AC34"/>
    <mergeCell ref="AE33:AE34"/>
    <mergeCell ref="AI31:AI32"/>
    <mergeCell ref="AJ31:AJ32"/>
    <mergeCell ref="AK31:AK32"/>
    <mergeCell ref="AL31:AL32"/>
    <mergeCell ref="AO31:AO32"/>
    <mergeCell ref="AC31:AC32"/>
    <mergeCell ref="AE31:AE32"/>
    <mergeCell ref="AH31:AH32"/>
    <mergeCell ref="AO33:AO34"/>
    <mergeCell ref="AP33:AP34"/>
    <mergeCell ref="AQ33:AQ34"/>
    <mergeCell ref="AR33:AR34"/>
    <mergeCell ref="AH33:AH34"/>
    <mergeCell ref="AI33:AI34"/>
    <mergeCell ref="AJ33:AJ34"/>
    <mergeCell ref="AK33:AK34"/>
    <mergeCell ref="AL33:AL34"/>
    <mergeCell ref="AH29:AH30"/>
    <mergeCell ref="AI29:AI30"/>
    <mergeCell ref="AJ29:AJ30"/>
    <mergeCell ref="AK29:AK30"/>
    <mergeCell ref="AL29:AL30"/>
    <mergeCell ref="AO29:AO30"/>
    <mergeCell ref="AO27:AO28"/>
    <mergeCell ref="AP27:AP28"/>
    <mergeCell ref="AQ27:AQ28"/>
    <mergeCell ref="AH27:AH28"/>
    <mergeCell ref="AI27:AI28"/>
    <mergeCell ref="AJ27:AJ28"/>
    <mergeCell ref="AK27:AK28"/>
    <mergeCell ref="AL27:AL28"/>
    <mergeCell ref="AQ19:AQ20"/>
    <mergeCell ref="AR19:AR20"/>
    <mergeCell ref="AP29:AP30"/>
    <mergeCell ref="AQ29:AQ30"/>
    <mergeCell ref="AR29:AR30"/>
    <mergeCell ref="AS29:AS30"/>
    <mergeCell ref="AT29:AT30"/>
    <mergeCell ref="AU29:AU30"/>
    <mergeCell ref="AU27:AU28"/>
    <mergeCell ref="AR27:AR28"/>
    <mergeCell ref="AS27:AS28"/>
    <mergeCell ref="AT27:AT28"/>
    <mergeCell ref="AU19:AU20"/>
    <mergeCell ref="AP19:AP20"/>
    <mergeCell ref="AU21:AU23"/>
    <mergeCell ref="AS21:AS23"/>
    <mergeCell ref="AS24:AS26"/>
    <mergeCell ref="AT24:AT26"/>
    <mergeCell ref="AU24:AU26"/>
    <mergeCell ref="AQ13:AQ14"/>
    <mergeCell ref="AR13:AR14"/>
    <mergeCell ref="AT15:AT16"/>
    <mergeCell ref="AU15:AU16"/>
    <mergeCell ref="AH17:AH18"/>
    <mergeCell ref="AI17:AI18"/>
    <mergeCell ref="AJ17:AJ18"/>
    <mergeCell ref="AK17:AK18"/>
    <mergeCell ref="AL17:AL18"/>
    <mergeCell ref="AO15:AO16"/>
    <mergeCell ref="AP15:AP16"/>
    <mergeCell ref="AQ15:AQ16"/>
    <mergeCell ref="AR15:AR16"/>
    <mergeCell ref="AS15:AS16"/>
    <mergeCell ref="AU17:AU18"/>
    <mergeCell ref="AO17:AO18"/>
    <mergeCell ref="AP17:AP18"/>
    <mergeCell ref="AQ17:AQ18"/>
    <mergeCell ref="AR17:AR18"/>
    <mergeCell ref="AS17:AS18"/>
    <mergeCell ref="AT17:AT18"/>
    <mergeCell ref="AN15:AN16"/>
    <mergeCell ref="AN17:AN18"/>
    <mergeCell ref="AF15:AF16"/>
    <mergeCell ref="AG15:AG16"/>
    <mergeCell ref="AH15:AH16"/>
    <mergeCell ref="AI15:AI16"/>
    <mergeCell ref="AJ15:AJ16"/>
    <mergeCell ref="AK15:AK16"/>
    <mergeCell ref="AL15:AL16"/>
    <mergeCell ref="AL13:AL14"/>
    <mergeCell ref="AO13:AO14"/>
    <mergeCell ref="AR11:AR12"/>
    <mergeCell ref="AS11:AS12"/>
    <mergeCell ref="AT11:AT12"/>
    <mergeCell ref="AU11:AU12"/>
    <mergeCell ref="AF13:AF14"/>
    <mergeCell ref="AG13:AG14"/>
    <mergeCell ref="AH13:AH14"/>
    <mergeCell ref="AI13:AI14"/>
    <mergeCell ref="AJ13:AJ14"/>
    <mergeCell ref="AK13:AK14"/>
    <mergeCell ref="AK11:AK12"/>
    <mergeCell ref="AL11:AL12"/>
    <mergeCell ref="AO11:AO12"/>
    <mergeCell ref="AP11:AP12"/>
    <mergeCell ref="AQ11:AQ12"/>
    <mergeCell ref="AF11:AF12"/>
    <mergeCell ref="AG11:AG12"/>
    <mergeCell ref="AH11:AH12"/>
    <mergeCell ref="AI11:AI12"/>
    <mergeCell ref="AJ11:AJ12"/>
    <mergeCell ref="AS13:AS14"/>
    <mergeCell ref="AT13:AT14"/>
    <mergeCell ref="AU13:AU14"/>
    <mergeCell ref="AP13:AP14"/>
    <mergeCell ref="W35:X36"/>
    <mergeCell ref="W37:X38"/>
    <mergeCell ref="W39:X40"/>
    <mergeCell ref="W41:X42"/>
    <mergeCell ref="W43:X44"/>
    <mergeCell ref="W45:X46"/>
    <mergeCell ref="W47:X48"/>
    <mergeCell ref="R47:R48"/>
    <mergeCell ref="S47:S48"/>
    <mergeCell ref="T47:T48"/>
    <mergeCell ref="U47:U48"/>
    <mergeCell ref="V47:V48"/>
    <mergeCell ref="R45:R46"/>
    <mergeCell ref="S45:S46"/>
    <mergeCell ref="T45:T46"/>
    <mergeCell ref="U45:U46"/>
    <mergeCell ref="V45:V46"/>
    <mergeCell ref="R43:R44"/>
    <mergeCell ref="S43:S44"/>
    <mergeCell ref="T43:T44"/>
    <mergeCell ref="U43:U44"/>
    <mergeCell ref="V43:V44"/>
    <mergeCell ref="R41:R42"/>
    <mergeCell ref="T37:T38"/>
    <mergeCell ref="U37:U38"/>
    <mergeCell ref="V37:V38"/>
    <mergeCell ref="R35:R36"/>
    <mergeCell ref="S35:S36"/>
    <mergeCell ref="T35:T36"/>
    <mergeCell ref="U35:U36"/>
    <mergeCell ref="V35:V36"/>
    <mergeCell ref="S41:S42"/>
    <mergeCell ref="T41:T42"/>
    <mergeCell ref="U41:U42"/>
    <mergeCell ref="V41:V42"/>
    <mergeCell ref="R39:R40"/>
    <mergeCell ref="S39:S40"/>
    <mergeCell ref="T39:T40"/>
    <mergeCell ref="U39:U40"/>
    <mergeCell ref="V39:V40"/>
    <mergeCell ref="T29:T30"/>
    <mergeCell ref="U29:U30"/>
    <mergeCell ref="V29:V30"/>
    <mergeCell ref="W29:W30"/>
    <mergeCell ref="X29:X30"/>
    <mergeCell ref="X31:X32"/>
    <mergeCell ref="R33:R34"/>
    <mergeCell ref="S33:S34"/>
    <mergeCell ref="T33:T34"/>
    <mergeCell ref="U33:U34"/>
    <mergeCell ref="V33:V34"/>
    <mergeCell ref="R31:R32"/>
    <mergeCell ref="S31:S32"/>
    <mergeCell ref="T31:T32"/>
    <mergeCell ref="U31:U32"/>
    <mergeCell ref="V31:V32"/>
    <mergeCell ref="W31:W32"/>
    <mergeCell ref="W33:X34"/>
    <mergeCell ref="T24:T26"/>
    <mergeCell ref="U24:U26"/>
    <mergeCell ref="V24:V26"/>
    <mergeCell ref="W24:W26"/>
    <mergeCell ref="X24:X26"/>
    <mergeCell ref="R27:R28"/>
    <mergeCell ref="S27:S28"/>
    <mergeCell ref="T27:T28"/>
    <mergeCell ref="U27:U28"/>
    <mergeCell ref="V27:V28"/>
    <mergeCell ref="W27:W28"/>
    <mergeCell ref="X27:X28"/>
    <mergeCell ref="T19:T20"/>
    <mergeCell ref="U19:U20"/>
    <mergeCell ref="V19:V20"/>
    <mergeCell ref="W19:W20"/>
    <mergeCell ref="X19:X20"/>
    <mergeCell ref="R21:R23"/>
    <mergeCell ref="S21:S23"/>
    <mergeCell ref="T21:T23"/>
    <mergeCell ref="U21:U23"/>
    <mergeCell ref="V21:V23"/>
    <mergeCell ref="W21:W23"/>
    <mergeCell ref="X21:X23"/>
    <mergeCell ref="T15:T16"/>
    <mergeCell ref="U15:U16"/>
    <mergeCell ref="V15:V16"/>
    <mergeCell ref="W15:W16"/>
    <mergeCell ref="X15:X16"/>
    <mergeCell ref="T17:T18"/>
    <mergeCell ref="U17:U18"/>
    <mergeCell ref="V17:V18"/>
    <mergeCell ref="W17:W18"/>
    <mergeCell ref="X17:X18"/>
    <mergeCell ref="T11:T12"/>
    <mergeCell ref="U11:U12"/>
    <mergeCell ref="V11:V12"/>
    <mergeCell ref="W11:W12"/>
    <mergeCell ref="X11:X12"/>
    <mergeCell ref="R13:R14"/>
    <mergeCell ref="S13:S14"/>
    <mergeCell ref="T13:T14"/>
    <mergeCell ref="U13:U14"/>
    <mergeCell ref="V13:V14"/>
    <mergeCell ref="W13:W14"/>
    <mergeCell ref="X13:X14"/>
    <mergeCell ref="R11:R12"/>
    <mergeCell ref="S11:S12"/>
    <mergeCell ref="R17:R18"/>
    <mergeCell ref="S17:S18"/>
    <mergeCell ref="R24:R26"/>
    <mergeCell ref="S24:S26"/>
    <mergeCell ref="F43:F44"/>
    <mergeCell ref="G43:G44"/>
    <mergeCell ref="H43:H44"/>
    <mergeCell ref="F39:F40"/>
    <mergeCell ref="G39:G40"/>
    <mergeCell ref="H39:H40"/>
    <mergeCell ref="F41:F42"/>
    <mergeCell ref="G41:G42"/>
    <mergeCell ref="H41:H42"/>
    <mergeCell ref="F33:F34"/>
    <mergeCell ref="I43:I44"/>
    <mergeCell ref="K33:K34"/>
    <mergeCell ref="L33:L34"/>
    <mergeCell ref="J35:J36"/>
    <mergeCell ref="K35:K36"/>
    <mergeCell ref="L35:L36"/>
    <mergeCell ref="P31:P32"/>
    <mergeCell ref="I33:I34"/>
    <mergeCell ref="I35:I36"/>
    <mergeCell ref="I37:I38"/>
    <mergeCell ref="R15:R16"/>
    <mergeCell ref="S15:S16"/>
    <mergeCell ref="R19:R20"/>
    <mergeCell ref="S19:S20"/>
    <mergeCell ref="R29:R30"/>
    <mergeCell ref="S29:S30"/>
    <mergeCell ref="R37:R38"/>
    <mergeCell ref="S37:S38"/>
    <mergeCell ref="J47:J48"/>
    <mergeCell ref="M39:M40"/>
    <mergeCell ref="N39:N40"/>
    <mergeCell ref="O39:O40"/>
    <mergeCell ref="P39:P40"/>
    <mergeCell ref="K47:K48"/>
    <mergeCell ref="L47:L48"/>
    <mergeCell ref="M47:M48"/>
    <mergeCell ref="N47:N48"/>
    <mergeCell ref="O47:O48"/>
    <mergeCell ref="P43:P44"/>
    <mergeCell ref="J45:J46"/>
    <mergeCell ref="K45:K46"/>
    <mergeCell ref="L45:L46"/>
    <mergeCell ref="M45:M46"/>
    <mergeCell ref="N45:N46"/>
    <mergeCell ref="I45:I46"/>
    <mergeCell ref="I47:I48"/>
    <mergeCell ref="J33:J34"/>
    <mergeCell ref="F47:F48"/>
    <mergeCell ref="G47:G48"/>
    <mergeCell ref="H47:H48"/>
    <mergeCell ref="Q8:Q48"/>
    <mergeCell ref="F45:F46"/>
    <mergeCell ref="G45:G46"/>
    <mergeCell ref="H45:H46"/>
    <mergeCell ref="P47:P48"/>
    <mergeCell ref="N43:N44"/>
    <mergeCell ref="O43:O44"/>
    <mergeCell ref="G33:G34"/>
    <mergeCell ref="H33:H34"/>
    <mergeCell ref="F35:F36"/>
    <mergeCell ref="G35:G36"/>
    <mergeCell ref="H35:H36"/>
    <mergeCell ref="F37:F38"/>
    <mergeCell ref="G37:G38"/>
    <mergeCell ref="H37:H38"/>
    <mergeCell ref="J39:J40"/>
    <mergeCell ref="K39:K40"/>
    <mergeCell ref="L39:L40"/>
    <mergeCell ref="O45:O46"/>
    <mergeCell ref="P45:P46"/>
    <mergeCell ref="J43:J44"/>
    <mergeCell ref="K43:K44"/>
    <mergeCell ref="L43:L44"/>
    <mergeCell ref="M43:M44"/>
    <mergeCell ref="N37:N38"/>
    <mergeCell ref="O37:O38"/>
    <mergeCell ref="K41:K42"/>
    <mergeCell ref="L41:L42"/>
    <mergeCell ref="M41:M42"/>
    <mergeCell ref="N41:N42"/>
    <mergeCell ref="O41:O42"/>
    <mergeCell ref="P41:P42"/>
    <mergeCell ref="P37:P38"/>
    <mergeCell ref="J41:J42"/>
    <mergeCell ref="I39:I40"/>
    <mergeCell ref="I41:I42"/>
    <mergeCell ref="M33:M34"/>
    <mergeCell ref="N33:N34"/>
    <mergeCell ref="O33:O34"/>
    <mergeCell ref="P33:P34"/>
    <mergeCell ref="M35:M36"/>
    <mergeCell ref="N35:N36"/>
    <mergeCell ref="O35:O36"/>
    <mergeCell ref="P35:P36"/>
    <mergeCell ref="J37:J38"/>
    <mergeCell ref="K37:K38"/>
    <mergeCell ref="L37:L38"/>
    <mergeCell ref="M37:M38"/>
    <mergeCell ref="O29:O30"/>
    <mergeCell ref="P29:P30"/>
    <mergeCell ref="I31:I32"/>
    <mergeCell ref="J31:J32"/>
    <mergeCell ref="K31:K32"/>
    <mergeCell ref="L31:L32"/>
    <mergeCell ref="M31:M32"/>
    <mergeCell ref="N31:N32"/>
    <mergeCell ref="O31:O32"/>
    <mergeCell ref="I29:I30"/>
    <mergeCell ref="J29:J30"/>
    <mergeCell ref="K29:K30"/>
    <mergeCell ref="L29:L30"/>
    <mergeCell ref="M29:M30"/>
    <mergeCell ref="N29:N30"/>
    <mergeCell ref="O24:O26"/>
    <mergeCell ref="P24:P26"/>
    <mergeCell ref="I27:I28"/>
    <mergeCell ref="J27:J28"/>
    <mergeCell ref="K27:K28"/>
    <mergeCell ref="L27:L28"/>
    <mergeCell ref="M27:M28"/>
    <mergeCell ref="N27:N28"/>
    <mergeCell ref="O27:O28"/>
    <mergeCell ref="P27:P28"/>
    <mergeCell ref="I24:I26"/>
    <mergeCell ref="J24:J26"/>
    <mergeCell ref="K24:K26"/>
    <mergeCell ref="L24:L26"/>
    <mergeCell ref="M24:M26"/>
    <mergeCell ref="N24:N26"/>
    <mergeCell ref="J19:J20"/>
    <mergeCell ref="I19:I20"/>
    <mergeCell ref="K19:K20"/>
    <mergeCell ref="L19:L20"/>
    <mergeCell ref="M19:M20"/>
    <mergeCell ref="N19:N20"/>
    <mergeCell ref="O19:O20"/>
    <mergeCell ref="P19:P20"/>
    <mergeCell ref="I21:I23"/>
    <mergeCell ref="J21:J23"/>
    <mergeCell ref="K21:K23"/>
    <mergeCell ref="L21:L23"/>
    <mergeCell ref="M21:M23"/>
    <mergeCell ref="N21:N23"/>
    <mergeCell ref="O21:O23"/>
    <mergeCell ref="P21:P23"/>
    <mergeCell ref="I15:I16"/>
    <mergeCell ref="J15:J16"/>
    <mergeCell ref="K15:K16"/>
    <mergeCell ref="L15:L16"/>
    <mergeCell ref="M15:M16"/>
    <mergeCell ref="N15:N16"/>
    <mergeCell ref="I17:I18"/>
    <mergeCell ref="L17:L18"/>
    <mergeCell ref="N17:N18"/>
    <mergeCell ref="L11:L12"/>
    <mergeCell ref="M11:M12"/>
    <mergeCell ref="N11:N12"/>
    <mergeCell ref="O11:O12"/>
    <mergeCell ref="P11:P12"/>
    <mergeCell ref="K11:K12"/>
    <mergeCell ref="O15:O16"/>
    <mergeCell ref="P15:P16"/>
    <mergeCell ref="J17:J18"/>
    <mergeCell ref="K17:K18"/>
    <mergeCell ref="M17:M18"/>
    <mergeCell ref="O17:O18"/>
    <mergeCell ref="P17:P18"/>
    <mergeCell ref="D6:E6"/>
    <mergeCell ref="F4:X4"/>
    <mergeCell ref="F5:Q5"/>
    <mergeCell ref="R5:X5"/>
    <mergeCell ref="F6:Q6"/>
    <mergeCell ref="R7:T7"/>
    <mergeCell ref="U7:V7"/>
    <mergeCell ref="W7:X7"/>
    <mergeCell ref="F13:F14"/>
    <mergeCell ref="G13:G14"/>
    <mergeCell ref="H13:H14"/>
    <mergeCell ref="I13:I14"/>
    <mergeCell ref="J13:J14"/>
    <mergeCell ref="F11:F12"/>
    <mergeCell ref="G11:G12"/>
    <mergeCell ref="H11:H12"/>
    <mergeCell ref="I11:I12"/>
    <mergeCell ref="J11:J12"/>
    <mergeCell ref="K13:K14"/>
    <mergeCell ref="L13:L14"/>
    <mergeCell ref="M13:M14"/>
    <mergeCell ref="N13:N14"/>
    <mergeCell ref="O13:O14"/>
    <mergeCell ref="P13:P14"/>
  </mergeCells>
  <pageMargins left="0.7" right="0.7" top="0.75" bottom="0.75" header="0.3" footer="0.3"/>
  <customProperties>
    <customPr name="DynardoMOPSolver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D5776-3128-43A2-BFEF-CBFF8BA1C740}">
  <dimension ref="B2:V47"/>
  <sheetViews>
    <sheetView workbookViewId="0">
      <selection activeCell="M16" sqref="M16:M17"/>
    </sheetView>
  </sheetViews>
  <sheetFormatPr defaultRowHeight="15" x14ac:dyDescent="0.25"/>
  <cols>
    <col min="3" max="3" width="15.42578125" customWidth="1"/>
  </cols>
  <sheetData>
    <row r="2" spans="2:22" ht="15.75" thickBot="1" x14ac:dyDescent="0.3"/>
    <row r="3" spans="2:22" ht="24.75" thickBot="1" x14ac:dyDescent="0.45">
      <c r="D3" s="96" t="s">
        <v>190</v>
      </c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2:22" ht="19.5" thickBot="1" x14ac:dyDescent="0.3">
      <c r="D4" s="124" t="s">
        <v>251</v>
      </c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 t="s">
        <v>250</v>
      </c>
      <c r="Q4" s="124"/>
      <c r="R4" s="124"/>
      <c r="S4" s="124"/>
      <c r="T4" s="124"/>
      <c r="U4" s="124"/>
      <c r="V4" s="124"/>
    </row>
    <row r="5" spans="2:22" ht="30.75" thickBot="1" x14ac:dyDescent="0.3">
      <c r="B5" s="125" t="s">
        <v>2</v>
      </c>
      <c r="C5" s="125"/>
      <c r="D5" s="126" t="s">
        <v>123</v>
      </c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30" t="s">
        <v>249</v>
      </c>
      <c r="Q5" s="29" t="s">
        <v>15</v>
      </c>
      <c r="R5" s="29" t="s">
        <v>16</v>
      </c>
      <c r="S5" s="30"/>
      <c r="T5" s="29"/>
      <c r="U5" s="30"/>
      <c r="V5" s="29"/>
    </row>
    <row r="6" spans="2:22" ht="33" thickTop="1" thickBot="1" x14ac:dyDescent="0.3">
      <c r="B6" s="26" t="s">
        <v>1</v>
      </c>
      <c r="C6" s="44" t="s">
        <v>3</v>
      </c>
      <c r="D6" s="47" t="s">
        <v>177</v>
      </c>
      <c r="E6" s="28" t="s">
        <v>178</v>
      </c>
      <c r="F6" s="28" t="s">
        <v>179</v>
      </c>
      <c r="G6" s="28" t="s">
        <v>180</v>
      </c>
      <c r="H6" s="28" t="s">
        <v>181</v>
      </c>
      <c r="I6" s="28" t="s">
        <v>182</v>
      </c>
      <c r="J6" s="28" t="s">
        <v>183</v>
      </c>
      <c r="K6" s="28" t="s">
        <v>184</v>
      </c>
      <c r="L6" s="28" t="s">
        <v>185</v>
      </c>
      <c r="M6" s="28" t="s">
        <v>186</v>
      </c>
      <c r="N6" s="28" t="s">
        <v>187</v>
      </c>
      <c r="O6" s="28" t="s">
        <v>188</v>
      </c>
      <c r="P6" s="122" t="s">
        <v>189</v>
      </c>
      <c r="Q6" s="127"/>
      <c r="R6" s="123"/>
      <c r="S6" s="99"/>
      <c r="T6" s="99"/>
      <c r="U6" s="99"/>
      <c r="V6" s="99"/>
    </row>
    <row r="7" spans="2:22" x14ac:dyDescent="0.25">
      <c r="B7" s="31" t="s">
        <v>4</v>
      </c>
      <c r="C7" s="32">
        <v>3</v>
      </c>
      <c r="D7" s="48" t="s">
        <v>191</v>
      </c>
      <c r="E7" s="48">
        <v>-140</v>
      </c>
      <c r="F7" s="48" t="s">
        <v>207</v>
      </c>
      <c r="G7" s="48" t="s">
        <v>208</v>
      </c>
      <c r="H7" s="48" t="s">
        <v>209</v>
      </c>
      <c r="I7" s="48" t="s">
        <v>210</v>
      </c>
      <c r="J7" s="48" t="s">
        <v>211</v>
      </c>
      <c r="K7" s="48" t="s">
        <v>212</v>
      </c>
      <c r="L7" s="48" t="s">
        <v>213</v>
      </c>
      <c r="M7" s="48" t="s">
        <v>214</v>
      </c>
      <c r="N7" s="48">
        <v>0</v>
      </c>
      <c r="O7" s="130"/>
      <c r="P7" s="48"/>
      <c r="Q7" s="48"/>
      <c r="R7" s="48"/>
      <c r="S7" s="48"/>
      <c r="T7" s="48"/>
      <c r="U7" s="48"/>
      <c r="V7" s="49"/>
    </row>
    <row r="8" spans="2:22" x14ac:dyDescent="0.25">
      <c r="B8" s="34">
        <v>3</v>
      </c>
      <c r="C8" s="35">
        <v>6</v>
      </c>
      <c r="D8" s="36" t="s">
        <v>191</v>
      </c>
      <c r="E8" s="36">
        <v>-140</v>
      </c>
      <c r="F8" s="36" t="s">
        <v>215</v>
      </c>
      <c r="G8" s="36" t="s">
        <v>216</v>
      </c>
      <c r="H8" s="36" t="s">
        <v>217</v>
      </c>
      <c r="I8" s="36" t="s">
        <v>209</v>
      </c>
      <c r="J8" s="36" t="s">
        <v>210</v>
      </c>
      <c r="K8" s="36" t="s">
        <v>211</v>
      </c>
      <c r="L8" s="36" t="s">
        <v>212</v>
      </c>
      <c r="M8" s="36" t="s">
        <v>213</v>
      </c>
      <c r="N8" s="36">
        <v>0</v>
      </c>
      <c r="O8" s="131"/>
      <c r="P8" s="36"/>
      <c r="Q8" s="36"/>
      <c r="R8" s="36"/>
      <c r="S8" s="50"/>
      <c r="T8" s="36"/>
      <c r="U8" s="50"/>
      <c r="V8" s="51"/>
    </row>
    <row r="9" spans="2:22" x14ac:dyDescent="0.25">
      <c r="B9" s="34">
        <v>6</v>
      </c>
      <c r="C9" s="35">
        <v>10</v>
      </c>
      <c r="D9" s="36" t="s">
        <v>192</v>
      </c>
      <c r="E9" s="36">
        <v>-150</v>
      </c>
      <c r="F9" s="36" t="s">
        <v>218</v>
      </c>
      <c r="G9" s="36" t="s">
        <v>219</v>
      </c>
      <c r="H9" s="36" t="s">
        <v>220</v>
      </c>
      <c r="I9" s="36" t="s">
        <v>221</v>
      </c>
      <c r="J9" s="36" t="s">
        <v>222</v>
      </c>
      <c r="K9" s="36" t="s">
        <v>223</v>
      </c>
      <c r="L9" s="36" t="s">
        <v>224</v>
      </c>
      <c r="M9" s="36" t="s">
        <v>225</v>
      </c>
      <c r="N9" s="36">
        <v>0</v>
      </c>
      <c r="O9" s="131"/>
      <c r="P9" s="36"/>
      <c r="Q9" s="36"/>
      <c r="R9" s="36"/>
      <c r="S9" s="50"/>
      <c r="T9" s="36"/>
      <c r="U9" s="50"/>
      <c r="V9" s="51"/>
    </row>
    <row r="10" spans="2:22" x14ac:dyDescent="0.25">
      <c r="B10" s="34">
        <v>10</v>
      </c>
      <c r="C10" s="35">
        <v>14</v>
      </c>
      <c r="D10" s="133">
        <v>-290</v>
      </c>
      <c r="E10" s="133">
        <v>-150</v>
      </c>
      <c r="F10" s="100">
        <v>-95</v>
      </c>
      <c r="G10" s="100">
        <v>-70</v>
      </c>
      <c r="H10" s="100">
        <v>-50</v>
      </c>
      <c r="I10" s="100">
        <v>-32</v>
      </c>
      <c r="J10" s="100">
        <v>-23</v>
      </c>
      <c r="K10" s="100">
        <v>-16</v>
      </c>
      <c r="L10" s="100">
        <v>-10</v>
      </c>
      <c r="M10" s="135">
        <v>-6</v>
      </c>
      <c r="N10" s="100">
        <v>0</v>
      </c>
      <c r="O10" s="131"/>
      <c r="P10" s="100"/>
      <c r="Q10" s="100"/>
      <c r="R10" s="100"/>
      <c r="S10" s="100"/>
      <c r="T10" s="100"/>
      <c r="U10" s="128"/>
      <c r="V10" s="129"/>
    </row>
    <row r="11" spans="2:22" x14ac:dyDescent="0.25">
      <c r="B11" s="34">
        <v>14</v>
      </c>
      <c r="C11" s="35">
        <v>18</v>
      </c>
      <c r="D11" s="134"/>
      <c r="E11" s="134"/>
      <c r="F11" s="100"/>
      <c r="G11" s="100"/>
      <c r="H11" s="100"/>
      <c r="I11" s="100"/>
      <c r="J11" s="100"/>
      <c r="K11" s="100"/>
      <c r="L11" s="100"/>
      <c r="M11" s="135"/>
      <c r="N11" s="100"/>
      <c r="O11" s="131"/>
      <c r="P11" s="100"/>
      <c r="Q11" s="100"/>
      <c r="R11" s="100"/>
      <c r="S11" s="100"/>
      <c r="T11" s="100"/>
      <c r="U11" s="100"/>
      <c r="V11" s="129"/>
    </row>
    <row r="12" spans="2:22" x14ac:dyDescent="0.25">
      <c r="B12" s="34">
        <v>18</v>
      </c>
      <c r="C12" s="35">
        <v>24</v>
      </c>
      <c r="D12" s="133">
        <v>-300</v>
      </c>
      <c r="E12" s="133">
        <v>-160</v>
      </c>
      <c r="F12" s="100">
        <v>-110</v>
      </c>
      <c r="G12" s="100">
        <v>-85</v>
      </c>
      <c r="H12" s="100">
        <v>-65</v>
      </c>
      <c r="I12" s="100">
        <v>-40</v>
      </c>
      <c r="J12" s="100">
        <v>-25</v>
      </c>
      <c r="K12" s="100">
        <v>-20</v>
      </c>
      <c r="L12" s="100">
        <v>-12</v>
      </c>
      <c r="M12" s="100">
        <v>-7</v>
      </c>
      <c r="N12" s="100">
        <v>0</v>
      </c>
      <c r="O12" s="131"/>
      <c r="P12" s="100"/>
      <c r="Q12" s="100"/>
      <c r="R12" s="100"/>
      <c r="S12" s="128"/>
      <c r="T12" s="100"/>
      <c r="U12" s="128"/>
      <c r="V12" s="129"/>
    </row>
    <row r="13" spans="2:22" x14ac:dyDescent="0.25">
      <c r="B13" s="34">
        <v>24</v>
      </c>
      <c r="C13" s="35">
        <v>30</v>
      </c>
      <c r="D13" s="134"/>
      <c r="E13" s="134"/>
      <c r="F13" s="100"/>
      <c r="G13" s="100"/>
      <c r="H13" s="100"/>
      <c r="I13" s="100"/>
      <c r="J13" s="100"/>
      <c r="K13" s="100"/>
      <c r="L13" s="100"/>
      <c r="M13" s="100"/>
      <c r="N13" s="100"/>
      <c r="O13" s="131"/>
      <c r="P13" s="100"/>
      <c r="Q13" s="100"/>
      <c r="R13" s="100"/>
      <c r="S13" s="100"/>
      <c r="T13" s="100"/>
      <c r="U13" s="100"/>
      <c r="V13" s="129"/>
    </row>
    <row r="14" spans="2:22" x14ac:dyDescent="0.25">
      <c r="B14" s="34">
        <v>30</v>
      </c>
      <c r="C14" s="35">
        <v>40</v>
      </c>
      <c r="D14" s="36" t="s">
        <v>194</v>
      </c>
      <c r="E14" s="36" t="s">
        <v>226</v>
      </c>
      <c r="F14" s="36" t="s">
        <v>227</v>
      </c>
      <c r="G14" s="100">
        <v>-100</v>
      </c>
      <c r="H14" s="100">
        <v>-80</v>
      </c>
      <c r="I14" s="100">
        <v>-50</v>
      </c>
      <c r="J14" s="100">
        <v>-35</v>
      </c>
      <c r="K14" s="100">
        <v>-25</v>
      </c>
      <c r="L14" s="100">
        <v>-15</v>
      </c>
      <c r="M14" s="100">
        <v>-9</v>
      </c>
      <c r="N14" s="100">
        <v>0</v>
      </c>
      <c r="O14" s="131"/>
      <c r="P14" s="100"/>
      <c r="Q14" s="100"/>
      <c r="R14" s="100"/>
      <c r="S14" s="128"/>
      <c r="T14" s="100"/>
      <c r="U14" s="128"/>
      <c r="V14" s="129"/>
    </row>
    <row r="15" spans="2:22" x14ac:dyDescent="0.25">
      <c r="B15" s="34">
        <v>40</v>
      </c>
      <c r="C15" s="35">
        <v>50</v>
      </c>
      <c r="D15" s="36" t="s">
        <v>195</v>
      </c>
      <c r="E15" s="36" t="s">
        <v>228</v>
      </c>
      <c r="F15" s="36" t="s">
        <v>229</v>
      </c>
      <c r="G15" s="100"/>
      <c r="H15" s="100"/>
      <c r="I15" s="100"/>
      <c r="J15" s="100"/>
      <c r="K15" s="100"/>
      <c r="L15" s="100"/>
      <c r="M15" s="100"/>
      <c r="N15" s="100"/>
      <c r="O15" s="131"/>
      <c r="P15" s="100"/>
      <c r="Q15" s="100"/>
      <c r="R15" s="100"/>
      <c r="S15" s="100"/>
      <c r="T15" s="100"/>
      <c r="U15" s="100"/>
      <c r="V15" s="129"/>
    </row>
    <row r="16" spans="2:22" x14ac:dyDescent="0.25">
      <c r="B16" s="34">
        <v>50</v>
      </c>
      <c r="C16" s="35">
        <v>65</v>
      </c>
      <c r="D16" s="36" t="s">
        <v>196</v>
      </c>
      <c r="E16" s="36" t="s">
        <v>230</v>
      </c>
      <c r="F16" s="36" t="s">
        <v>231</v>
      </c>
      <c r="G16" s="100"/>
      <c r="H16" s="100">
        <v>-100</v>
      </c>
      <c r="I16" s="100">
        <v>-60</v>
      </c>
      <c r="J16" s="100"/>
      <c r="K16" s="100">
        <v>-30</v>
      </c>
      <c r="L16" s="100"/>
      <c r="M16" s="100">
        <v>-10</v>
      </c>
      <c r="N16" s="100">
        <v>0</v>
      </c>
      <c r="O16" s="131"/>
      <c r="P16" s="100"/>
      <c r="Q16" s="100"/>
      <c r="R16" s="100"/>
      <c r="S16" s="128"/>
      <c r="T16" s="100"/>
      <c r="U16" s="128"/>
      <c r="V16" s="129"/>
    </row>
    <row r="17" spans="2:22" x14ac:dyDescent="0.25">
      <c r="B17" s="34">
        <v>65</v>
      </c>
      <c r="C17" s="35">
        <v>80</v>
      </c>
      <c r="D17" s="36" t="s">
        <v>197</v>
      </c>
      <c r="E17" s="36" t="s">
        <v>232</v>
      </c>
      <c r="F17" s="36" t="s">
        <v>233</v>
      </c>
      <c r="G17" s="100"/>
      <c r="H17" s="100"/>
      <c r="I17" s="100"/>
      <c r="J17" s="100"/>
      <c r="K17" s="100"/>
      <c r="L17" s="100"/>
      <c r="M17" s="100"/>
      <c r="N17" s="100"/>
      <c r="O17" s="131"/>
      <c r="P17" s="100"/>
      <c r="Q17" s="100"/>
      <c r="R17" s="100"/>
      <c r="S17" s="100"/>
      <c r="T17" s="100"/>
      <c r="U17" s="100"/>
      <c r="V17" s="129"/>
    </row>
    <row r="18" spans="2:22" x14ac:dyDescent="0.25">
      <c r="B18" s="34">
        <v>80</v>
      </c>
      <c r="C18" s="35">
        <v>100</v>
      </c>
      <c r="D18" s="36" t="s">
        <v>198</v>
      </c>
      <c r="E18" s="36" t="s">
        <v>234</v>
      </c>
      <c r="F18" s="36" t="s">
        <v>226</v>
      </c>
      <c r="G18" s="100"/>
      <c r="H18" s="100">
        <v>-120</v>
      </c>
      <c r="I18" s="100">
        <v>-72</v>
      </c>
      <c r="J18" s="100"/>
      <c r="K18" s="100">
        <v>-36</v>
      </c>
      <c r="L18" s="100"/>
      <c r="M18" s="100">
        <v>-12</v>
      </c>
      <c r="N18" s="100">
        <v>0</v>
      </c>
      <c r="O18" s="131"/>
      <c r="P18" s="100"/>
      <c r="Q18" s="100"/>
      <c r="R18" s="100"/>
      <c r="S18" s="128"/>
      <c r="T18" s="100"/>
      <c r="U18" s="128"/>
      <c r="V18" s="129"/>
    </row>
    <row r="19" spans="2:22" x14ac:dyDescent="0.25">
      <c r="B19" s="34">
        <v>100</v>
      </c>
      <c r="C19" s="35">
        <v>120</v>
      </c>
      <c r="D19" s="36" t="s">
        <v>199</v>
      </c>
      <c r="E19" s="36" t="s">
        <v>235</v>
      </c>
      <c r="F19" s="36" t="s">
        <v>228</v>
      </c>
      <c r="G19" s="100"/>
      <c r="H19" s="100"/>
      <c r="I19" s="100"/>
      <c r="J19" s="100"/>
      <c r="K19" s="100"/>
      <c r="L19" s="100"/>
      <c r="M19" s="100"/>
      <c r="N19" s="100"/>
      <c r="O19" s="131"/>
      <c r="P19" s="100"/>
      <c r="Q19" s="100"/>
      <c r="R19" s="100"/>
      <c r="S19" s="100"/>
      <c r="T19" s="100"/>
      <c r="U19" s="100"/>
      <c r="V19" s="129"/>
    </row>
    <row r="20" spans="2:22" x14ac:dyDescent="0.25">
      <c r="B20" s="34">
        <v>120</v>
      </c>
      <c r="C20" s="35">
        <v>140</v>
      </c>
      <c r="D20" s="36" t="s">
        <v>200</v>
      </c>
      <c r="E20" s="36" t="s">
        <v>236</v>
      </c>
      <c r="F20" s="36" t="s">
        <v>232</v>
      </c>
      <c r="G20" s="100"/>
      <c r="H20" s="100">
        <v>-145</v>
      </c>
      <c r="I20" s="100">
        <v>-85</v>
      </c>
      <c r="J20" s="100"/>
      <c r="K20" s="100">
        <v>-43</v>
      </c>
      <c r="L20" s="100"/>
      <c r="M20" s="100">
        <v>-14</v>
      </c>
      <c r="N20" s="100">
        <v>0</v>
      </c>
      <c r="O20" s="131"/>
      <c r="P20" s="100"/>
      <c r="Q20" s="100"/>
      <c r="R20" s="100"/>
      <c r="S20" s="100"/>
      <c r="T20" s="100"/>
      <c r="U20" s="128"/>
      <c r="V20" s="129"/>
    </row>
    <row r="21" spans="2:22" x14ac:dyDescent="0.25">
      <c r="B21" s="34">
        <v>140</v>
      </c>
      <c r="C21" s="35">
        <v>160</v>
      </c>
      <c r="D21" s="36" t="s">
        <v>201</v>
      </c>
      <c r="E21" s="36" t="s">
        <v>192</v>
      </c>
      <c r="F21" s="36" t="s">
        <v>237</v>
      </c>
      <c r="G21" s="100"/>
      <c r="H21" s="100"/>
      <c r="I21" s="100"/>
      <c r="J21" s="100"/>
      <c r="K21" s="100"/>
      <c r="L21" s="100"/>
      <c r="M21" s="100"/>
      <c r="N21" s="100"/>
      <c r="O21" s="131"/>
      <c r="P21" s="100"/>
      <c r="Q21" s="100"/>
      <c r="R21" s="100"/>
      <c r="S21" s="100"/>
      <c r="T21" s="100"/>
      <c r="U21" s="100"/>
      <c r="V21" s="129"/>
    </row>
    <row r="22" spans="2:22" x14ac:dyDescent="0.25">
      <c r="B22" s="34">
        <v>160</v>
      </c>
      <c r="C22" s="35">
        <v>180</v>
      </c>
      <c r="D22" s="36" t="s">
        <v>202</v>
      </c>
      <c r="E22" s="36" t="s">
        <v>194</v>
      </c>
      <c r="F22" s="36" t="s">
        <v>238</v>
      </c>
      <c r="G22" s="100"/>
      <c r="H22" s="100"/>
      <c r="I22" s="100"/>
      <c r="J22" s="100"/>
      <c r="K22" s="100"/>
      <c r="L22" s="100"/>
      <c r="M22" s="100"/>
      <c r="N22" s="100"/>
      <c r="O22" s="131"/>
      <c r="P22" s="100"/>
      <c r="Q22" s="100"/>
      <c r="R22" s="100"/>
      <c r="S22" s="100"/>
      <c r="T22" s="100"/>
      <c r="U22" s="100"/>
      <c r="V22" s="129"/>
    </row>
    <row r="23" spans="2:22" x14ac:dyDescent="0.25">
      <c r="B23" s="34">
        <v>180</v>
      </c>
      <c r="C23" s="35">
        <v>200</v>
      </c>
      <c r="D23" s="36" t="s">
        <v>203</v>
      </c>
      <c r="E23" s="36" t="s">
        <v>196</v>
      </c>
      <c r="F23" s="36" t="s">
        <v>235</v>
      </c>
      <c r="G23" s="100"/>
      <c r="H23" s="100">
        <v>-170</v>
      </c>
      <c r="I23" s="100">
        <v>-100</v>
      </c>
      <c r="J23" s="100"/>
      <c r="K23" s="100">
        <v>-50</v>
      </c>
      <c r="L23" s="100"/>
      <c r="M23" s="100">
        <v>-15</v>
      </c>
      <c r="N23" s="100">
        <v>0</v>
      </c>
      <c r="O23" s="131"/>
      <c r="P23" s="100"/>
      <c r="Q23" s="100"/>
      <c r="R23" s="100"/>
      <c r="S23" s="128"/>
      <c r="T23" s="100"/>
      <c r="U23" s="128"/>
      <c r="V23" s="129"/>
    </row>
    <row r="24" spans="2:22" x14ac:dyDescent="0.25">
      <c r="B24" s="34">
        <v>200</v>
      </c>
      <c r="C24" s="35">
        <v>225</v>
      </c>
      <c r="D24" s="36" t="s">
        <v>204</v>
      </c>
      <c r="E24" s="36" t="s">
        <v>198</v>
      </c>
      <c r="F24" s="36" t="s">
        <v>236</v>
      </c>
      <c r="G24" s="100"/>
      <c r="H24" s="100"/>
      <c r="I24" s="100"/>
      <c r="J24" s="100"/>
      <c r="K24" s="100"/>
      <c r="L24" s="100"/>
      <c r="M24" s="100"/>
      <c r="N24" s="100"/>
      <c r="O24" s="131"/>
      <c r="P24" s="100"/>
      <c r="Q24" s="100"/>
      <c r="R24" s="100"/>
      <c r="S24" s="100"/>
      <c r="T24" s="100"/>
      <c r="U24" s="100"/>
      <c r="V24" s="129"/>
    </row>
    <row r="25" spans="2:22" x14ac:dyDescent="0.25">
      <c r="B25" s="34">
        <v>225</v>
      </c>
      <c r="C25" s="35">
        <v>250</v>
      </c>
      <c r="D25" s="36" t="s">
        <v>205</v>
      </c>
      <c r="E25" s="36" t="s">
        <v>239</v>
      </c>
      <c r="F25" s="36" t="s">
        <v>192</v>
      </c>
      <c r="G25" s="100"/>
      <c r="H25" s="100"/>
      <c r="I25" s="100"/>
      <c r="J25" s="100"/>
      <c r="K25" s="100"/>
      <c r="L25" s="100"/>
      <c r="M25" s="100"/>
      <c r="N25" s="100"/>
      <c r="O25" s="131"/>
      <c r="P25" s="100"/>
      <c r="Q25" s="100"/>
      <c r="R25" s="100"/>
      <c r="S25" s="100"/>
      <c r="T25" s="100"/>
      <c r="U25" s="100"/>
      <c r="V25" s="129"/>
    </row>
    <row r="26" spans="2:22" x14ac:dyDescent="0.25">
      <c r="B26" s="34">
        <v>250</v>
      </c>
      <c r="C26" s="35">
        <v>280</v>
      </c>
      <c r="D26" s="36" t="s">
        <v>206</v>
      </c>
      <c r="E26" s="36" t="s">
        <v>240</v>
      </c>
      <c r="F26" s="36" t="s">
        <v>193</v>
      </c>
      <c r="G26" s="100"/>
      <c r="H26" s="100">
        <v>-190</v>
      </c>
      <c r="I26" s="100">
        <v>-110</v>
      </c>
      <c r="J26" s="100"/>
      <c r="K26" s="100">
        <v>-56</v>
      </c>
      <c r="L26" s="100"/>
      <c r="M26" s="100">
        <v>-17</v>
      </c>
      <c r="N26" s="100">
        <v>0</v>
      </c>
      <c r="O26" s="131"/>
      <c r="P26" s="100"/>
      <c r="Q26" s="100"/>
      <c r="R26" s="100"/>
      <c r="S26" s="100"/>
      <c r="T26" s="100"/>
      <c r="U26" s="128"/>
      <c r="V26" s="129"/>
    </row>
    <row r="27" spans="2:22" x14ac:dyDescent="0.25">
      <c r="B27" s="34">
        <v>280</v>
      </c>
      <c r="C27" s="35">
        <v>315</v>
      </c>
      <c r="D27" s="36">
        <v>-1050</v>
      </c>
      <c r="E27" s="36" t="s">
        <v>241</v>
      </c>
      <c r="F27" s="36" t="s">
        <v>242</v>
      </c>
      <c r="G27" s="100"/>
      <c r="H27" s="100"/>
      <c r="I27" s="100"/>
      <c r="J27" s="100"/>
      <c r="K27" s="100"/>
      <c r="L27" s="100"/>
      <c r="M27" s="100"/>
      <c r="N27" s="100"/>
      <c r="O27" s="131"/>
      <c r="P27" s="100"/>
      <c r="Q27" s="100"/>
      <c r="R27" s="100"/>
      <c r="S27" s="100"/>
      <c r="T27" s="100"/>
      <c r="U27" s="100"/>
      <c r="V27" s="129"/>
    </row>
    <row r="28" spans="2:22" x14ac:dyDescent="0.25">
      <c r="B28" s="34">
        <v>315</v>
      </c>
      <c r="C28" s="35">
        <v>355</v>
      </c>
      <c r="D28" s="36">
        <v>-1200</v>
      </c>
      <c r="E28" s="36" t="s">
        <v>243</v>
      </c>
      <c r="F28" s="36" t="s">
        <v>197</v>
      </c>
      <c r="G28" s="100"/>
      <c r="H28" s="100">
        <v>-210</v>
      </c>
      <c r="I28" s="100">
        <v>-125</v>
      </c>
      <c r="J28" s="100"/>
      <c r="K28" s="100">
        <v>-62</v>
      </c>
      <c r="L28" s="100"/>
      <c r="M28" s="100">
        <v>-18</v>
      </c>
      <c r="N28" s="100">
        <v>0</v>
      </c>
      <c r="O28" s="131"/>
      <c r="P28" s="100"/>
      <c r="Q28" s="100"/>
      <c r="R28" s="100"/>
      <c r="S28" s="100"/>
      <c r="T28" s="100"/>
      <c r="U28" s="128"/>
      <c r="V28" s="129"/>
    </row>
    <row r="29" spans="2:22" x14ac:dyDescent="0.25">
      <c r="B29" s="34">
        <v>355</v>
      </c>
      <c r="C29" s="35">
        <v>400</v>
      </c>
      <c r="D29" s="36">
        <v>-1350</v>
      </c>
      <c r="E29" s="36" t="s">
        <v>244</v>
      </c>
      <c r="F29" s="36" t="s">
        <v>245</v>
      </c>
      <c r="G29" s="100"/>
      <c r="H29" s="100"/>
      <c r="I29" s="100"/>
      <c r="J29" s="100"/>
      <c r="K29" s="100"/>
      <c r="L29" s="100"/>
      <c r="M29" s="100"/>
      <c r="N29" s="100"/>
      <c r="O29" s="131"/>
      <c r="P29" s="100"/>
      <c r="Q29" s="100"/>
      <c r="R29" s="100"/>
      <c r="S29" s="100"/>
      <c r="T29" s="100"/>
      <c r="U29" s="100"/>
      <c r="V29" s="129"/>
    </row>
    <row r="30" spans="2:22" x14ac:dyDescent="0.25">
      <c r="B30" s="34">
        <v>400</v>
      </c>
      <c r="C30" s="35">
        <v>450</v>
      </c>
      <c r="D30" s="36">
        <v>-1500</v>
      </c>
      <c r="E30" s="36" t="s">
        <v>246</v>
      </c>
      <c r="F30" s="36" t="s">
        <v>247</v>
      </c>
      <c r="G30" s="100"/>
      <c r="H30" s="100">
        <v>-230</v>
      </c>
      <c r="I30" s="100">
        <v>-135</v>
      </c>
      <c r="J30" s="100"/>
      <c r="K30" s="100">
        <v>-68</v>
      </c>
      <c r="L30" s="100"/>
      <c r="M30" s="100">
        <v>-20</v>
      </c>
      <c r="N30" s="100">
        <v>0</v>
      </c>
      <c r="O30" s="131"/>
      <c r="P30" s="100"/>
      <c r="Q30" s="100"/>
      <c r="R30" s="100"/>
      <c r="S30" s="128"/>
      <c r="T30" s="100"/>
      <c r="U30" s="128"/>
      <c r="V30" s="129"/>
    </row>
    <row r="31" spans="2:22" x14ac:dyDescent="0.25">
      <c r="B31" s="34">
        <v>450</v>
      </c>
      <c r="C31" s="35">
        <v>500</v>
      </c>
      <c r="D31" s="36">
        <v>-1650</v>
      </c>
      <c r="E31" s="36" t="s">
        <v>248</v>
      </c>
      <c r="F31" s="36" t="s">
        <v>240</v>
      </c>
      <c r="G31" s="100"/>
      <c r="H31" s="100"/>
      <c r="I31" s="100"/>
      <c r="J31" s="100"/>
      <c r="K31" s="100"/>
      <c r="L31" s="100"/>
      <c r="M31" s="100"/>
      <c r="N31" s="100"/>
      <c r="O31" s="131"/>
      <c r="P31" s="100"/>
      <c r="Q31" s="100"/>
      <c r="R31" s="100"/>
      <c r="S31" s="100"/>
      <c r="T31" s="100"/>
      <c r="U31" s="100"/>
      <c r="V31" s="129"/>
    </row>
    <row r="32" spans="2:22" x14ac:dyDescent="0.25">
      <c r="B32" s="34">
        <v>500</v>
      </c>
      <c r="C32" s="35">
        <v>560</v>
      </c>
      <c r="D32" s="133"/>
      <c r="E32" s="133"/>
      <c r="F32" s="100"/>
      <c r="G32" s="100"/>
      <c r="H32" s="100">
        <v>-260</v>
      </c>
      <c r="I32" s="100">
        <v>-145</v>
      </c>
      <c r="J32" s="100"/>
      <c r="K32" s="100">
        <v>-76</v>
      </c>
      <c r="L32" s="100"/>
      <c r="M32" s="100">
        <v>-22</v>
      </c>
      <c r="N32" s="100">
        <v>0</v>
      </c>
      <c r="O32" s="131"/>
      <c r="P32" s="100"/>
      <c r="Q32" s="100"/>
      <c r="R32" s="100"/>
      <c r="S32" s="100"/>
      <c r="T32" s="100"/>
      <c r="U32" s="136"/>
      <c r="V32" s="137"/>
    </row>
    <row r="33" spans="2:22" x14ac:dyDescent="0.25">
      <c r="B33" s="34">
        <v>560</v>
      </c>
      <c r="C33" s="35">
        <v>630</v>
      </c>
      <c r="D33" s="134"/>
      <c r="E33" s="134"/>
      <c r="F33" s="100"/>
      <c r="G33" s="100"/>
      <c r="H33" s="100"/>
      <c r="I33" s="100"/>
      <c r="J33" s="100"/>
      <c r="K33" s="100"/>
      <c r="L33" s="100"/>
      <c r="M33" s="100"/>
      <c r="N33" s="100"/>
      <c r="O33" s="131"/>
      <c r="P33" s="100"/>
      <c r="Q33" s="100"/>
      <c r="R33" s="100"/>
      <c r="S33" s="100"/>
      <c r="T33" s="100"/>
      <c r="U33" s="138"/>
      <c r="V33" s="139"/>
    </row>
    <row r="34" spans="2:22" x14ac:dyDescent="0.25">
      <c r="B34" s="34">
        <v>630</v>
      </c>
      <c r="C34" s="35">
        <v>710</v>
      </c>
      <c r="D34" s="133"/>
      <c r="E34" s="133"/>
      <c r="F34" s="100"/>
      <c r="G34" s="100"/>
      <c r="H34" s="100">
        <v>-290</v>
      </c>
      <c r="I34" s="100">
        <v>-160</v>
      </c>
      <c r="J34" s="100"/>
      <c r="K34" s="100">
        <v>-80</v>
      </c>
      <c r="L34" s="100"/>
      <c r="M34" s="100">
        <v>-24</v>
      </c>
      <c r="N34" s="100">
        <v>0</v>
      </c>
      <c r="O34" s="131"/>
      <c r="P34" s="100"/>
      <c r="Q34" s="100"/>
      <c r="R34" s="100"/>
      <c r="S34" s="100"/>
      <c r="T34" s="100"/>
      <c r="U34" s="136"/>
      <c r="V34" s="137"/>
    </row>
    <row r="35" spans="2:22" x14ac:dyDescent="0.25">
      <c r="B35" s="34">
        <v>710</v>
      </c>
      <c r="C35" s="35">
        <v>800</v>
      </c>
      <c r="D35" s="134"/>
      <c r="E35" s="134"/>
      <c r="F35" s="100"/>
      <c r="G35" s="100"/>
      <c r="H35" s="100"/>
      <c r="I35" s="100"/>
      <c r="J35" s="100"/>
      <c r="K35" s="100"/>
      <c r="L35" s="100"/>
      <c r="M35" s="100"/>
      <c r="N35" s="100"/>
      <c r="O35" s="131"/>
      <c r="P35" s="100"/>
      <c r="Q35" s="100"/>
      <c r="R35" s="100"/>
      <c r="S35" s="100"/>
      <c r="T35" s="100"/>
      <c r="U35" s="138"/>
      <c r="V35" s="139"/>
    </row>
    <row r="36" spans="2:22" x14ac:dyDescent="0.25">
      <c r="B36" s="34">
        <v>800</v>
      </c>
      <c r="C36" s="35">
        <v>900</v>
      </c>
      <c r="D36" s="133"/>
      <c r="E36" s="133"/>
      <c r="F36" s="100"/>
      <c r="G36" s="100"/>
      <c r="H36" s="100">
        <v>-320</v>
      </c>
      <c r="I36" s="100">
        <v>-170</v>
      </c>
      <c r="J36" s="100"/>
      <c r="K36" s="100">
        <v>-86</v>
      </c>
      <c r="L36" s="100"/>
      <c r="M36" s="100">
        <v>-26</v>
      </c>
      <c r="N36" s="100">
        <v>0</v>
      </c>
      <c r="O36" s="131"/>
      <c r="P36" s="100"/>
      <c r="Q36" s="100"/>
      <c r="R36" s="100"/>
      <c r="S36" s="100"/>
      <c r="T36" s="100"/>
      <c r="U36" s="136"/>
      <c r="V36" s="137"/>
    </row>
    <row r="37" spans="2:22" x14ac:dyDescent="0.25">
      <c r="B37" s="34">
        <v>900</v>
      </c>
      <c r="C37" s="35">
        <v>1000</v>
      </c>
      <c r="D37" s="134"/>
      <c r="E37" s="134"/>
      <c r="F37" s="100"/>
      <c r="G37" s="100"/>
      <c r="H37" s="100"/>
      <c r="I37" s="100"/>
      <c r="J37" s="100"/>
      <c r="K37" s="100"/>
      <c r="L37" s="100"/>
      <c r="M37" s="100"/>
      <c r="N37" s="100"/>
      <c r="O37" s="131"/>
      <c r="P37" s="100"/>
      <c r="Q37" s="100"/>
      <c r="R37" s="100"/>
      <c r="S37" s="100"/>
      <c r="T37" s="100"/>
      <c r="U37" s="138"/>
      <c r="V37" s="139"/>
    </row>
    <row r="38" spans="2:22" x14ac:dyDescent="0.25">
      <c r="B38" s="34">
        <v>1000</v>
      </c>
      <c r="C38" s="35">
        <v>1120</v>
      </c>
      <c r="D38" s="133"/>
      <c r="E38" s="133"/>
      <c r="F38" s="100"/>
      <c r="G38" s="100"/>
      <c r="H38" s="100">
        <v>-350</v>
      </c>
      <c r="I38" s="100">
        <v>-195</v>
      </c>
      <c r="J38" s="100"/>
      <c r="K38" s="100">
        <v>-98</v>
      </c>
      <c r="L38" s="100"/>
      <c r="M38" s="100">
        <v>-28</v>
      </c>
      <c r="N38" s="100">
        <v>0</v>
      </c>
      <c r="O38" s="131"/>
      <c r="P38" s="100"/>
      <c r="Q38" s="100"/>
      <c r="R38" s="100"/>
      <c r="S38" s="100"/>
      <c r="T38" s="100"/>
      <c r="U38" s="136"/>
      <c r="V38" s="137"/>
    </row>
    <row r="39" spans="2:22" x14ac:dyDescent="0.25">
      <c r="B39" s="34">
        <v>1120</v>
      </c>
      <c r="C39" s="35">
        <v>1250</v>
      </c>
      <c r="D39" s="134"/>
      <c r="E39" s="134"/>
      <c r="F39" s="100"/>
      <c r="G39" s="100"/>
      <c r="H39" s="100"/>
      <c r="I39" s="100"/>
      <c r="J39" s="100"/>
      <c r="K39" s="100"/>
      <c r="L39" s="100"/>
      <c r="M39" s="100"/>
      <c r="N39" s="100"/>
      <c r="O39" s="131"/>
      <c r="P39" s="100"/>
      <c r="Q39" s="100"/>
      <c r="R39" s="100"/>
      <c r="S39" s="100"/>
      <c r="T39" s="100"/>
      <c r="U39" s="138"/>
      <c r="V39" s="139"/>
    </row>
    <row r="40" spans="2:22" x14ac:dyDescent="0.25">
      <c r="B40" s="34">
        <v>1250</v>
      </c>
      <c r="C40" s="35">
        <v>1400</v>
      </c>
      <c r="D40" s="133"/>
      <c r="E40" s="133"/>
      <c r="F40" s="100"/>
      <c r="G40" s="100"/>
      <c r="H40" s="100">
        <v>-390</v>
      </c>
      <c r="I40" s="100">
        <v>-220</v>
      </c>
      <c r="J40" s="100"/>
      <c r="K40" s="100">
        <v>-110</v>
      </c>
      <c r="L40" s="100"/>
      <c r="M40" s="100">
        <v>-30</v>
      </c>
      <c r="N40" s="100">
        <v>0</v>
      </c>
      <c r="O40" s="131"/>
      <c r="P40" s="100"/>
      <c r="Q40" s="100"/>
      <c r="R40" s="100"/>
      <c r="S40" s="100"/>
      <c r="T40" s="100"/>
      <c r="U40" s="136"/>
      <c r="V40" s="137"/>
    </row>
    <row r="41" spans="2:22" x14ac:dyDescent="0.25">
      <c r="B41" s="34">
        <v>1400</v>
      </c>
      <c r="C41" s="35">
        <v>1600</v>
      </c>
      <c r="D41" s="134"/>
      <c r="E41" s="134"/>
      <c r="F41" s="100"/>
      <c r="G41" s="100"/>
      <c r="H41" s="100"/>
      <c r="I41" s="100"/>
      <c r="J41" s="100"/>
      <c r="K41" s="100"/>
      <c r="L41" s="100"/>
      <c r="M41" s="100"/>
      <c r="N41" s="100"/>
      <c r="O41" s="131"/>
      <c r="P41" s="100"/>
      <c r="Q41" s="100"/>
      <c r="R41" s="100"/>
      <c r="S41" s="100"/>
      <c r="T41" s="100"/>
      <c r="U41" s="138"/>
      <c r="V41" s="139"/>
    </row>
    <row r="42" spans="2:22" x14ac:dyDescent="0.25">
      <c r="B42" s="34">
        <v>1600</v>
      </c>
      <c r="C42" s="35">
        <v>1800</v>
      </c>
      <c r="D42" s="133"/>
      <c r="E42" s="133"/>
      <c r="F42" s="100"/>
      <c r="G42" s="100"/>
      <c r="H42" s="100">
        <v>-430</v>
      </c>
      <c r="I42" s="100">
        <v>-240</v>
      </c>
      <c r="J42" s="100"/>
      <c r="K42" s="100">
        <v>-120</v>
      </c>
      <c r="L42" s="100"/>
      <c r="M42" s="100">
        <v>-32</v>
      </c>
      <c r="N42" s="100">
        <v>0</v>
      </c>
      <c r="O42" s="131"/>
      <c r="P42" s="100"/>
      <c r="Q42" s="100"/>
      <c r="R42" s="100"/>
      <c r="S42" s="100"/>
      <c r="T42" s="100"/>
      <c r="U42" s="136"/>
      <c r="V42" s="137"/>
    </row>
    <row r="43" spans="2:22" x14ac:dyDescent="0.25">
      <c r="B43" s="34">
        <v>1800</v>
      </c>
      <c r="C43" s="35">
        <v>2000</v>
      </c>
      <c r="D43" s="134"/>
      <c r="E43" s="134"/>
      <c r="F43" s="100"/>
      <c r="G43" s="100"/>
      <c r="H43" s="100"/>
      <c r="I43" s="100"/>
      <c r="J43" s="100"/>
      <c r="K43" s="100"/>
      <c r="L43" s="100"/>
      <c r="M43" s="100"/>
      <c r="N43" s="100"/>
      <c r="O43" s="131"/>
      <c r="P43" s="100"/>
      <c r="Q43" s="100"/>
      <c r="R43" s="100"/>
      <c r="S43" s="100"/>
      <c r="T43" s="100"/>
      <c r="U43" s="138"/>
      <c r="V43" s="139"/>
    </row>
    <row r="44" spans="2:22" x14ac:dyDescent="0.25">
      <c r="B44" s="34">
        <v>2000</v>
      </c>
      <c r="C44" s="35">
        <v>2240</v>
      </c>
      <c r="D44" s="133"/>
      <c r="E44" s="133"/>
      <c r="F44" s="100"/>
      <c r="G44" s="100"/>
      <c r="H44" s="100">
        <v>-480</v>
      </c>
      <c r="I44" s="100">
        <v>-260</v>
      </c>
      <c r="J44" s="100"/>
      <c r="K44" s="100">
        <v>-130</v>
      </c>
      <c r="L44" s="100"/>
      <c r="M44" s="100">
        <v>-34</v>
      </c>
      <c r="N44" s="100">
        <v>0</v>
      </c>
      <c r="O44" s="131"/>
      <c r="P44" s="100"/>
      <c r="Q44" s="100"/>
      <c r="R44" s="100"/>
      <c r="S44" s="100"/>
      <c r="T44" s="100"/>
      <c r="U44" s="136"/>
      <c r="V44" s="137"/>
    </row>
    <row r="45" spans="2:22" x14ac:dyDescent="0.25">
      <c r="B45" s="34">
        <v>2240</v>
      </c>
      <c r="C45" s="35">
        <v>2500</v>
      </c>
      <c r="D45" s="134"/>
      <c r="E45" s="134"/>
      <c r="F45" s="100"/>
      <c r="G45" s="100"/>
      <c r="H45" s="100"/>
      <c r="I45" s="100"/>
      <c r="J45" s="100"/>
      <c r="K45" s="100"/>
      <c r="L45" s="100"/>
      <c r="M45" s="100"/>
      <c r="N45" s="100"/>
      <c r="O45" s="131"/>
      <c r="P45" s="100"/>
      <c r="Q45" s="100"/>
      <c r="R45" s="100"/>
      <c r="S45" s="100"/>
      <c r="T45" s="100"/>
      <c r="U45" s="138"/>
      <c r="V45" s="139"/>
    </row>
    <row r="46" spans="2:22" x14ac:dyDescent="0.25">
      <c r="B46" s="34">
        <v>2500</v>
      </c>
      <c r="C46" s="35">
        <v>2800</v>
      </c>
      <c r="D46" s="133"/>
      <c r="E46" s="133"/>
      <c r="F46" s="100"/>
      <c r="G46" s="100"/>
      <c r="H46" s="100">
        <v>-520</v>
      </c>
      <c r="I46" s="100">
        <v>-290</v>
      </c>
      <c r="J46" s="100"/>
      <c r="K46" s="100">
        <v>-145</v>
      </c>
      <c r="L46" s="100"/>
      <c r="M46" s="100">
        <v>-38</v>
      </c>
      <c r="N46" s="100">
        <v>0</v>
      </c>
      <c r="O46" s="131"/>
      <c r="P46" s="100"/>
      <c r="Q46" s="100"/>
      <c r="R46" s="100"/>
      <c r="S46" s="100"/>
      <c r="T46" s="100"/>
      <c r="U46" s="136"/>
      <c r="V46" s="137"/>
    </row>
    <row r="47" spans="2:22" ht="15.75" thickBot="1" x14ac:dyDescent="0.3">
      <c r="B47" s="37">
        <v>2800</v>
      </c>
      <c r="C47" s="38">
        <v>3150</v>
      </c>
      <c r="D47" s="140"/>
      <c r="E47" s="140"/>
      <c r="F47" s="102"/>
      <c r="G47" s="102"/>
      <c r="H47" s="102"/>
      <c r="I47" s="102"/>
      <c r="J47" s="102"/>
      <c r="K47" s="102"/>
      <c r="L47" s="102"/>
      <c r="M47" s="102"/>
      <c r="N47" s="102"/>
      <c r="O47" s="132"/>
      <c r="P47" s="102"/>
      <c r="Q47" s="102"/>
      <c r="R47" s="102"/>
      <c r="S47" s="102"/>
      <c r="T47" s="102"/>
      <c r="U47" s="141"/>
      <c r="V47" s="142"/>
    </row>
  </sheetData>
  <mergeCells count="301">
    <mergeCell ref="S46:S47"/>
    <mergeCell ref="T46:T47"/>
    <mergeCell ref="U46:V47"/>
    <mergeCell ref="J46:J47"/>
    <mergeCell ref="K46:K47"/>
    <mergeCell ref="L46:L47"/>
    <mergeCell ref="M46:M47"/>
    <mergeCell ref="N46:N47"/>
    <mergeCell ref="P46:P47"/>
    <mergeCell ref="D46:D47"/>
    <mergeCell ref="E46:E47"/>
    <mergeCell ref="F46:F47"/>
    <mergeCell ref="G46:G47"/>
    <mergeCell ref="H46:H47"/>
    <mergeCell ref="I46:I47"/>
    <mergeCell ref="P44:P45"/>
    <mergeCell ref="Q44:Q45"/>
    <mergeCell ref="R44:R45"/>
    <mergeCell ref="Q46:Q47"/>
    <mergeCell ref="R46:R47"/>
    <mergeCell ref="D44:D45"/>
    <mergeCell ref="E44:E45"/>
    <mergeCell ref="F44:F45"/>
    <mergeCell ref="G44:G45"/>
    <mergeCell ref="H44:H45"/>
    <mergeCell ref="D42:D43"/>
    <mergeCell ref="E42:E43"/>
    <mergeCell ref="F42:F43"/>
    <mergeCell ref="G42:G43"/>
    <mergeCell ref="H42:H43"/>
    <mergeCell ref="I42:I43"/>
    <mergeCell ref="S44:S45"/>
    <mergeCell ref="T44:T45"/>
    <mergeCell ref="U44:V45"/>
    <mergeCell ref="I44:I45"/>
    <mergeCell ref="J44:J45"/>
    <mergeCell ref="K44:K45"/>
    <mergeCell ref="L44:L45"/>
    <mergeCell ref="M44:M45"/>
    <mergeCell ref="N44:N45"/>
    <mergeCell ref="U40:V41"/>
    <mergeCell ref="I40:I41"/>
    <mergeCell ref="J40:J41"/>
    <mergeCell ref="K40:K41"/>
    <mergeCell ref="L40:L41"/>
    <mergeCell ref="M40:M41"/>
    <mergeCell ref="N40:N41"/>
    <mergeCell ref="Q42:Q43"/>
    <mergeCell ref="R42:R43"/>
    <mergeCell ref="S42:S43"/>
    <mergeCell ref="T42:T43"/>
    <mergeCell ref="U42:V43"/>
    <mergeCell ref="N42:N43"/>
    <mergeCell ref="P42:P43"/>
    <mergeCell ref="J42:J43"/>
    <mergeCell ref="K42:K43"/>
    <mergeCell ref="L42:L43"/>
    <mergeCell ref="M42:M43"/>
    <mergeCell ref="N36:N37"/>
    <mergeCell ref="P36:P37"/>
    <mergeCell ref="Q36:Q37"/>
    <mergeCell ref="Q38:Q39"/>
    <mergeCell ref="R38:R39"/>
    <mergeCell ref="S38:S39"/>
    <mergeCell ref="T38:T39"/>
    <mergeCell ref="U38:V39"/>
    <mergeCell ref="D40:D41"/>
    <mergeCell ref="E40:E41"/>
    <mergeCell ref="F40:F41"/>
    <mergeCell ref="G40:G41"/>
    <mergeCell ref="H40:H41"/>
    <mergeCell ref="J38:J39"/>
    <mergeCell ref="K38:K39"/>
    <mergeCell ref="L38:L39"/>
    <mergeCell ref="M38:M39"/>
    <mergeCell ref="N38:N39"/>
    <mergeCell ref="P38:P39"/>
    <mergeCell ref="P40:P41"/>
    <mergeCell ref="Q40:Q41"/>
    <mergeCell ref="R40:R41"/>
    <mergeCell ref="S40:S41"/>
    <mergeCell ref="T40:T41"/>
    <mergeCell ref="D38:D39"/>
    <mergeCell ref="E38:E39"/>
    <mergeCell ref="F38:F39"/>
    <mergeCell ref="G38:G39"/>
    <mergeCell ref="H38:H39"/>
    <mergeCell ref="I38:I39"/>
    <mergeCell ref="K36:K37"/>
    <mergeCell ref="L36:L37"/>
    <mergeCell ref="M36:M37"/>
    <mergeCell ref="P32:P33"/>
    <mergeCell ref="Q32:Q33"/>
    <mergeCell ref="R32:R33"/>
    <mergeCell ref="S32:S33"/>
    <mergeCell ref="S34:S35"/>
    <mergeCell ref="T34:T35"/>
    <mergeCell ref="U34:V35"/>
    <mergeCell ref="D36:D37"/>
    <mergeCell ref="E36:E37"/>
    <mergeCell ref="F36:F37"/>
    <mergeCell ref="G36:G37"/>
    <mergeCell ref="H36:H37"/>
    <mergeCell ref="I36:I37"/>
    <mergeCell ref="J36:J37"/>
    <mergeCell ref="L34:L35"/>
    <mergeCell ref="M34:M35"/>
    <mergeCell ref="N34:N35"/>
    <mergeCell ref="P34:P35"/>
    <mergeCell ref="Q34:Q35"/>
    <mergeCell ref="R34:R35"/>
    <mergeCell ref="R36:R37"/>
    <mergeCell ref="S36:S37"/>
    <mergeCell ref="T36:T37"/>
    <mergeCell ref="U36:V37"/>
    <mergeCell ref="D34:D35"/>
    <mergeCell ref="E34:E35"/>
    <mergeCell ref="F34:F35"/>
    <mergeCell ref="G34:G35"/>
    <mergeCell ref="H34:H35"/>
    <mergeCell ref="I34:I35"/>
    <mergeCell ref="J34:J35"/>
    <mergeCell ref="K34:K35"/>
    <mergeCell ref="M32:M33"/>
    <mergeCell ref="P28:P29"/>
    <mergeCell ref="Q28:Q29"/>
    <mergeCell ref="R28:R29"/>
    <mergeCell ref="S28:S29"/>
    <mergeCell ref="T28:T29"/>
    <mergeCell ref="V30:V31"/>
    <mergeCell ref="D32:D33"/>
    <mergeCell ref="E32:E33"/>
    <mergeCell ref="F32:F33"/>
    <mergeCell ref="G32:G33"/>
    <mergeCell ref="H32:H33"/>
    <mergeCell ref="I32:I33"/>
    <mergeCell ref="J32:J33"/>
    <mergeCell ref="K32:K33"/>
    <mergeCell ref="L32:L33"/>
    <mergeCell ref="P30:P31"/>
    <mergeCell ref="Q30:Q31"/>
    <mergeCell ref="R30:R31"/>
    <mergeCell ref="S30:S31"/>
    <mergeCell ref="T30:T31"/>
    <mergeCell ref="U30:U31"/>
    <mergeCell ref="T32:T33"/>
    <mergeCell ref="U32:V33"/>
    <mergeCell ref="N32:N33"/>
    <mergeCell ref="G30:G31"/>
    <mergeCell ref="H30:H31"/>
    <mergeCell ref="I30:I31"/>
    <mergeCell ref="J30:J31"/>
    <mergeCell ref="K30:K31"/>
    <mergeCell ref="L30:L31"/>
    <mergeCell ref="M30:M31"/>
    <mergeCell ref="N30:N31"/>
    <mergeCell ref="N28:N29"/>
    <mergeCell ref="T26:T27"/>
    <mergeCell ref="U26:U27"/>
    <mergeCell ref="V26:V27"/>
    <mergeCell ref="G28:G29"/>
    <mergeCell ref="H28:H29"/>
    <mergeCell ref="I28:I29"/>
    <mergeCell ref="J28:J29"/>
    <mergeCell ref="K28:K29"/>
    <mergeCell ref="L28:L29"/>
    <mergeCell ref="M28:M29"/>
    <mergeCell ref="M26:M27"/>
    <mergeCell ref="N26:N27"/>
    <mergeCell ref="P26:P27"/>
    <mergeCell ref="Q26:Q27"/>
    <mergeCell ref="R26:R27"/>
    <mergeCell ref="S26:S27"/>
    <mergeCell ref="G26:G27"/>
    <mergeCell ref="H26:H27"/>
    <mergeCell ref="I26:I27"/>
    <mergeCell ref="J26:J27"/>
    <mergeCell ref="K26:K27"/>
    <mergeCell ref="L26:L27"/>
    <mergeCell ref="U28:U29"/>
    <mergeCell ref="V28:V29"/>
    <mergeCell ref="Q23:Q25"/>
    <mergeCell ref="R23:R25"/>
    <mergeCell ref="S23:S25"/>
    <mergeCell ref="T23:T25"/>
    <mergeCell ref="U23:U25"/>
    <mergeCell ref="V23:V25"/>
    <mergeCell ref="V20:V22"/>
    <mergeCell ref="G23:G25"/>
    <mergeCell ref="H23:H25"/>
    <mergeCell ref="I23:I25"/>
    <mergeCell ref="J23:J25"/>
    <mergeCell ref="K23:K25"/>
    <mergeCell ref="L23:L25"/>
    <mergeCell ref="M23:M25"/>
    <mergeCell ref="N23:N25"/>
    <mergeCell ref="P23:P25"/>
    <mergeCell ref="P20:P22"/>
    <mergeCell ref="Q20:Q22"/>
    <mergeCell ref="R20:R22"/>
    <mergeCell ref="S20:S22"/>
    <mergeCell ref="T20:T22"/>
    <mergeCell ref="U20:U22"/>
    <mergeCell ref="U18:U19"/>
    <mergeCell ref="V18:V19"/>
    <mergeCell ref="G20:G22"/>
    <mergeCell ref="H20:H22"/>
    <mergeCell ref="I20:I22"/>
    <mergeCell ref="J20:J22"/>
    <mergeCell ref="K20:K22"/>
    <mergeCell ref="L20:L22"/>
    <mergeCell ref="M20:M22"/>
    <mergeCell ref="N20:N22"/>
    <mergeCell ref="N18:N19"/>
    <mergeCell ref="P18:P19"/>
    <mergeCell ref="Q18:Q19"/>
    <mergeCell ref="R18:R19"/>
    <mergeCell ref="S18:S19"/>
    <mergeCell ref="T18:T19"/>
    <mergeCell ref="G18:G19"/>
    <mergeCell ref="H18:H19"/>
    <mergeCell ref="I18:I19"/>
    <mergeCell ref="J18:J19"/>
    <mergeCell ref="K18:K19"/>
    <mergeCell ref="L18:L19"/>
    <mergeCell ref="M18:M19"/>
    <mergeCell ref="T14:T15"/>
    <mergeCell ref="U14:U15"/>
    <mergeCell ref="V14:V15"/>
    <mergeCell ref="G16:G17"/>
    <mergeCell ref="H16:H17"/>
    <mergeCell ref="I16:I17"/>
    <mergeCell ref="J16:J17"/>
    <mergeCell ref="K16:K17"/>
    <mergeCell ref="L16:L17"/>
    <mergeCell ref="L14:L15"/>
    <mergeCell ref="M14:M15"/>
    <mergeCell ref="N14:N15"/>
    <mergeCell ref="P14:P15"/>
    <mergeCell ref="Q14:Q15"/>
    <mergeCell ref="R14:R15"/>
    <mergeCell ref="T16:T17"/>
    <mergeCell ref="U16:U17"/>
    <mergeCell ref="V16:V17"/>
    <mergeCell ref="P16:P17"/>
    <mergeCell ref="Q16:Q17"/>
    <mergeCell ref="R16:R17"/>
    <mergeCell ref="S16:S17"/>
    <mergeCell ref="H14:H15"/>
    <mergeCell ref="I14:I15"/>
    <mergeCell ref="J14:J15"/>
    <mergeCell ref="K14:K15"/>
    <mergeCell ref="K12:K13"/>
    <mergeCell ref="L12:L13"/>
    <mergeCell ref="M12:M13"/>
    <mergeCell ref="N12:N13"/>
    <mergeCell ref="P12:P13"/>
    <mergeCell ref="M16:M17"/>
    <mergeCell ref="N16:N17"/>
    <mergeCell ref="Q12:Q13"/>
    <mergeCell ref="S14:S15"/>
    <mergeCell ref="F12:F13"/>
    <mergeCell ref="G12:G13"/>
    <mergeCell ref="H12:H13"/>
    <mergeCell ref="I12:I13"/>
    <mergeCell ref="J12:J13"/>
    <mergeCell ref="M10:M11"/>
    <mergeCell ref="N10:N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D3:V3"/>
    <mergeCell ref="D4:O4"/>
    <mergeCell ref="P4:V4"/>
    <mergeCell ref="B5:C5"/>
    <mergeCell ref="D5:O5"/>
    <mergeCell ref="P6:R6"/>
    <mergeCell ref="S6:T6"/>
    <mergeCell ref="U6:V6"/>
    <mergeCell ref="T10:T11"/>
    <mergeCell ref="U10:U11"/>
    <mergeCell ref="V10:V11"/>
    <mergeCell ref="P10:P11"/>
    <mergeCell ref="Q10:Q11"/>
    <mergeCell ref="R10:R11"/>
    <mergeCell ref="S10:S11"/>
    <mergeCell ref="O7:O47"/>
    <mergeCell ref="R12:R13"/>
    <mergeCell ref="S12:S13"/>
    <mergeCell ref="T12:T13"/>
    <mergeCell ref="U12:U13"/>
    <mergeCell ref="V12:V13"/>
    <mergeCell ref="G14:G15"/>
    <mergeCell ref="D12:D13"/>
    <mergeCell ref="E12:E13"/>
  </mergeCells>
  <pageMargins left="0.7" right="0.7" top="0.75" bottom="0.75" header="0.3" footer="0.3"/>
  <customProperties>
    <customPr name="DynardoMOPSolver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Calculations-fitting</vt:lpstr>
      <vt:lpstr>Tolerances-grades</vt:lpstr>
      <vt:lpstr>Deviations-holes</vt:lpstr>
      <vt:lpstr>Deviation-shafts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 Salahoru</dc:creator>
  <cp:lastModifiedBy>Eduard Salahoru</cp:lastModifiedBy>
  <dcterms:created xsi:type="dcterms:W3CDTF">2026-01-09T10:01:25Z</dcterms:created>
  <dcterms:modified xsi:type="dcterms:W3CDTF">2026-01-28T10:36:55Z</dcterms:modified>
</cp:coreProperties>
</file>